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77c284c27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_Table" sheetId="1" r:id="R817b692742ab451f"/>
    <x:sheet xmlns:r="http://schemas.openxmlformats.org/officeDocument/2006/relationships" name="Raw_SRC_V16C_Repeats" sheetId="2" r:id="Rec91c38e791c4076"/>
    <x:sheet xmlns:r="http://schemas.openxmlformats.org/officeDocument/2006/relationships" name="Raw_Strongest_Baseline_Repeats" sheetId="3" r:id="R5e1a6cc7f9344322"/>
    <x:sheet xmlns:r="http://schemas.openxmlformats.org/officeDocument/2006/relationships" name="Baseline_Method_Stats" sheetId="4" r:id="Rfade3b4ec6204e75"/>
    <x:sheet xmlns:r="http://schemas.openxmlformats.org/officeDocument/2006/relationships" name="Compact_Summary" sheetId="5" r:id="Rfe6bde88ade643f5"/>
    <x:sheet xmlns:r="http://schemas.openxmlformats.org/officeDocument/2006/relationships" name="Final_Table_Sections" sheetId="6" r:id="R63b73bbb37f647cf"/>
    <x:sheet xmlns:r="http://schemas.openxmlformats.org/officeDocument/2006/relationships" name="Self_Check" sheetId="7" r:id="R20ee084e76ed4814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Squirrel is removed per user request; Actor is not included in the final table. All values are sourced from uploaded files listed in Self_Check.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<x:sst xmlns:x="http://schemas.openxmlformats.org/spreadsheetml/2006/main">
  <x:si>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Dataset</x:t>
  </x:si>
  <x:si>
    <x:t xml:space="preserve">Strongest baseline</x:t>
  </x:si>
  <x:si>
    <x:t xml:space="preserve">SRC-v16c</x:t>
  </x:si>
  <x:si>
    <x:t xml:space="preserve">Gain (pp)</x:t>
  </x:si>
  <x:si>
    <x:t xml:space="preserve">Baseline method</x:t>
  </x:si>
  <x:si>
    <x:t xml:space="preserve">n</x:t>
  </x:si>
  <x:si>
    <x:t xml:space="preserve">Average</x:t>
  </x:si>
  <x:si>
    <x:t xml:space="preserve">dataset</x:t>
  </x:si>
  <x:si>
    <x:t xml:space="preserve">repeat</x:t>
  </x:si>
  <x:si>
    <x:t xml:space="preserve">seed</x:t>
  </x:si>
  <x:si>
    <x:t xml:space="preserve">split_id</x:t>
  </x:si>
  <x:si>
    <x:t xml:space="preserve">split_policy</x:t>
  </x:si>
  <x:si>
    <x:t xml:space="preserve">train_acc_raw</x:t>
  </x:si>
  <x:si>
    <x:t xml:space="preserve">val_acc_raw</x:t>
  </x:si>
  <x:si>
    <x:t xml:space="preserve">test_acc_raw</x:t>
  </x:si>
  <x:si>
    <x:t xml:space="preserve">val_bal_acc_raw</x:t>
  </x:si>
  <x:si>
    <x:t xml:space="preserve">top_k</x:t>
  </x:si>
  <x:si>
    <x:t xml:space="preserve">dim</x:t>
  </x:si>
  <x:si>
    <x:t xml:space="preserve">energy</x:t>
  </x:si>
  <x:si>
    <x:t xml:space="preserve">alphas</x:t>
  </x:si>
  <x:si>
    <x:t xml:space="preserve">w</x:t>
  </x:si>
  <x:si>
    <x:t xml:space="preserve">feature_variant</x:t>
  </x:si>
  <x:si>
    <x:t xml:space="preserve">selection_rule</x:t>
  </x:si>
  <x:si>
    <x:t xml:space="preserve">grid</x:t>
  </x:si>
  <x:si>
    <x:t xml:space="preserve">source_file</x:t>
  </x:si>
  <x:si>
    <x:t xml:space="preserve">source_line</x:t>
  </x:si>
  <x:si>
    <x:t xml:space="preserve">source_path</x:t>
  </x:si>
  <x:si>
    <x:t xml:space="preserve">amazon-computers</x:t>
  </x:si>
  <x:si>
    <x:t xml:space="preserve">class_balanced_random_20_train_30_val_per_class</x:t>
  </x:si>
  <x:si>
    <x:t xml:space="preserve">(0.05, 0.5, 5.0)</x:t>
  </x:si>
  <x:si>
    <x:t xml:space="preserve">full</x:t>
  </x:si>
  <x:si>
    <x:t xml:space="preserve">grid_selected_by_val_only_no_test</x:t>
  </x:si>
  <x:si>
    <x:t xml:space="preserve">fast</x:t>
  </x:si>
  <x:si>
    <x:t xml:space="preserve">src_v16c_final_6datasets_repeat_rows.csv</x:t>
  </x:si>
  <x:si>
    <x:t xml:space="preserve">/mnt/data/srcv16c_submission_package/src_v16c_final_6datasets_repeat_rows.csv</x:t>
  </x:si>
  <x:si>
    <x:t xml:space="preserve">(0.01, 0.1, 1.0)</x:t>
  </x:si>
  <x:si>
    <x:t xml:space="preserve">amazon-photo</x:t>
  </x:si>
  <x:si>
    <x:t xml:space="preserve">default</x:t>
  </x:si>
  <x:si>
    <x:t xml:space="preserve">(0.1, 1.0, 10.0)</x:t>
  </x:si>
  <x:si>
    <x:t xml:space="preserve">chameleon</x:t>
  </x:si>
  <x:si>
    <x:t xml:space="preserve">fixed_geom_gcn_split_id_0</x:t>
  </x:si>
  <x:si>
    <x:t xml:space="preserve">41</x:t>
  </x:si>
  <x:si>
    <x:t xml:space="preserve">src_v16c_main_table_10repeat_rows(1).csv</x:t>
  </x:si>
  <x:si>
    <x:t xml:space="preserve">/mnt/data/src_v16c_main_table_10repeat_rows(1).csv</x:t>
  </x:si>
  <x:si>
    <x:t xml:space="preserve">fixed_geom_gcn_split_id_1</x:t>
  </x:si>
  <x:si>
    <x:t xml:space="preserve">fixed_geom_gcn_split_id_2</x:t>
  </x:si>
  <x:si>
    <x:t xml:space="preserve">fixed_geom_gcn_split_id_3</x:t>
  </x:si>
  <x:si>
    <x:t xml:space="preserve">fixed_geom_gcn_split_id_4</x:t>
  </x:si>
  <x:si>
    <x:t xml:space="preserve">fixed_geom_gcn_split_id_5</x:t>
  </x:si>
  <x:si>
    <x:t xml:space="preserve">fixed_geom_gcn_split_id_6</x:t>
  </x:si>
  <x:si>
    <x:t xml:space="preserve">fixed_geom_gcn_split_id_7</x:t>
  </x:si>
  <x:si>
    <x:t xml:space="preserve">fixed_geom_gcn_split_id_8</x:t>
  </x:si>
  <x:si>
    <x:t xml:space="preserve">fixed_geom_gcn_split_id_9</x:t>
  </x:si>
  <x:si>
    <x:t xml:space="preserve">cornell</x:t>
  </x:si>
  <x:si>
    <x:t xml:space="preserve">random_stratified_matching_fixed_split0_class_counts</x:t>
  </x:si>
  <x:si>
    <x:t xml:space="preserve">texas</x:t>
  </x:si>
  <x:si>
    <x:t xml:space="preserve">wisconsin</x:t>
  </x:si>
  <x:si>
    <x:t xml:space="preserve">method</x:t>
  </x:si>
  <x:si>
    <x:t xml:space="preserve">best_epoch</x:t>
  </x:si>
  <x:si>
    <x:t xml:space="preserve">time_sec</x:t>
  </x:si>
  <x:si>
    <x:t xml:space="preserve">params</x:t>
  </x:si>
  <x:si>
    <x:t xml:space="preserve">train_mean_%</x:t>
  </x:si>
  <x:si>
    <x:t xml:space="preserve">train_std_%</x:t>
  </x:si>
  <x:si>
    <x:t xml:space="preserve">val_mean_%</x:t>
  </x:si>
  <x:si>
    <x:t xml:space="preserve">val_std_%</x:t>
  </x:si>
  <x:si>
    <x:t xml:space="preserve">test_mean_%</x:t>
  </x:si>
  <x:si>
    <x:t xml:space="preserve">test_std_%</x:t>
  </x:si>
  <x:si>
    <x:t xml:space="preserve">is_strongest_by_test_mean</x:t>
  </x:si>
  <x:si>
    <x:t xml:space="preserve">strongest_baseline_method</x:t>
  </x:si>
  <x:si>
    <x:t xml:space="preserve">baseline_n</x:t>
  </x:si>
  <x:si>
    <x:t xml:space="preserve">baseline_val_mean_%</x:t>
  </x:si>
  <x:si>
    <x:t xml:space="preserve">baseline_val_std_%</x:t>
  </x:si>
  <x:si>
    <x:t xml:space="preserve">baseline_test_mean_%</x:t>
  </x:si>
  <x:si>
    <x:t xml:space="preserve">baseline_test_std_%</x:t>
  </x:si>
  <x:si>
    <x:t xml:space="preserve">src_v16c_n</x:t>
  </x:si>
  <x:si>
    <x:t xml:space="preserve">src_val_mean_%</x:t>
  </x:si>
  <x:si>
    <x:t xml:space="preserve">src_val_std_%</x:t>
  </x:si>
  <x:si>
    <x:t xml:space="preserve">src_test_mean_%</x:t>
  </x:si>
  <x:si>
    <x:t xml:space="preserve">src_test_std_%</x:t>
  </x:si>
  <x:si>
    <x:t xml:space="preserve">gain_vs_baseline_pp</x:t>
  </x:si>
  <x:si>
    <x:t xml:space="preserve">Entry</x:t>
  </x:si>
  <x:si>
    <x:t xml:space="preserve">Method</x:t>
  </x:si>
  <x:si>
    <x:t xml:space="preserve">Train Mean %</x:t>
  </x:si>
  <x:si>
    <x:t xml:space="preserve">Train Std %</x:t>
  </x:si>
  <x:si>
    <x:t xml:space="preserve">Val Mean %</x:t>
  </x:si>
  <x:si>
    <x:t xml:space="preserve">Val Std %</x:t>
  </x:si>
  <x:si>
    <x:t xml:space="preserve">Test Mean %</x:t>
  </x:si>
  <x:si>
    <x:t xml:space="preserve">Test Std %</x:t>
  </x:si>
  <x:si>
    <x:t xml:space="preserve">Gain vs strongest baseline (pp)</x:t>
  </x:si>
  <x:si>
    <x:t xml:space="preserve">Repeat</x:t>
  </x:si>
  <x:si>
    <x:t xml:space="preserve">Seed</x:t>
  </x:si>
  <x:si>
    <x:t xml:space="preserve">Split ID</x:t>
  </x:si>
  <x:si>
    <x:t xml:space="preserve">Split policy</x:t>
  </x:si>
  <x:si>
    <x:t xml:space="preserve">Train Acc %</x:t>
  </x:si>
  <x:si>
    <x:t xml:space="preserve">Val Acc %</x:t>
  </x:si>
  <x:si>
    <x:t xml:space="preserve">Test Acc %</x:t>
  </x:si>
  <x:si>
    <x:t xml:space="preserve">Test Acc raw</x:t>
  </x:si>
  <x:si>
    <x:t xml:space="preserve">Val Bal Acc %</x:t>
  </x:si>
  <x:si>
    <x:t xml:space="preserve">Dataset: amazon-computers</x:t>
  </x:si>
  <x:si>
    <x:t xml:space="preserve">Strongest baseline summary</x:t>
  </x:si>
  <x:si>
    <x:t xml:space="preserve">SRC-v16c summary</x:t>
  </x:si>
  <x:si>
    <x:t xml:space="preserve">SRC-v16c repeat rows: final 6-dataset package + chameleon CSV</x:t>
  </x:si>
  <x:si>
    <x:t xml:space="preserve">Raw_SRC_V16C_Repeats rows 2-11</x:t>
  </x:si>
  <x:si>
    <x:t xml:space="preserve">Dataset: amazon-photo</x:t>
  </x:si>
  <x:si>
    <x:t xml:space="preserve">Raw_SRC_V16C_Repeats rows 12-21</x:t>
  </x:si>
  <x:si>
    <x:t xml:space="preserve">Dataset: chameleon</x:t>
  </x:si>
  <x:si>
    <x:t xml:space="preserve">Raw_SRC_V16C_Repeats rows 22-31</x:t>
  </x:si>
  <x:si>
    <x:t xml:space="preserve">Dataset: cornell</x:t>
  </x:si>
  <x:si>
    <x:t xml:space="preserve">Raw_SRC_V16C_Repeats rows 32-41</x:t>
  </x:si>
  <x:si>
    <x:t xml:space="preserve">Dataset: texas</x:t>
  </x:si>
  <x:si>
    <x:t xml:space="preserve">Raw_SRC_V16C_Repeats rows 42-51</x:t>
  </x:si>
  <x:si>
    <x:t xml:space="preserve">Dataset: wisconsin</x:t>
  </x:si>
  <x:si>
    <x:t xml:space="preserve">Raw_SRC_V16C_Repeats rows 52-61</x:t>
  </x:si>
  <x:si>
    <x:t xml:space="preserve">Check item</x:t>
  </x:si>
  <x:si>
    <x:t xml:space="preserve">Result</x:t>
  </x:si>
  <x:si>
    <x:t xml:space="preserve">Included datasets</x:t>
  </x:si>
  <x:si>
    <x:t xml:space="preserve">amazon-computers, amazon-photo, chameleon, cornell, texas, wisconsin</x:t>
  </x:si>
  <x:si>
    <x:t xml:space="preserve">Excluded per request / table policy</x:t>
  </x:si>
  <x:si>
    <x:t xml:space="preserve">squirrel removed; actor excluded</x:t>
  </x:si>
  <x:si>
    <x:t xml:space="preserve">Baseline source file</x:t>
  </x:si>
  <x:si>
    <x:t xml:space="preserve">SRC-v16c 6-dataset source file</x:t>
  </x:si>
  <x:si>
    <x:t xml:space="preserve">srcv16c_submission_package/src_v16c_final_6datasets_repeat_rows.csv</x:t>
  </x:si>
  <x:si>
    <x:t xml:space="preserve">SRC-v16c chameleon source file</x:t>
  </x:si>
  <x:si>
    <x:t xml:space="preserve">Chameleon file extra row handling</x:t>
  </x:si>
  <x:si>
    <x:t xml:space="preserve">Used only dataset == chameleon; ignored 1 squirrel row in that CSV</x:t>
  </x:si>
  <x:si>
    <x:t xml:space="preserve">Strongest baseline rule</x:t>
  </x:si>
  <x:si>
    <x:t xml:space="preserve">Std definition</x:t>
  </x:si>
  <x:si>
    <x:t xml:space="preserve">STDEV.S / sample standard deviation across 10 repeats</x:t>
  </x:si>
  <x:si>
    <x:t xml:space="preserve">All summary gains</x:t>
  </x:si>
  <x:si>
    <x:t xml:space="preserve">Formula: SRC-v16c test mean (%) - strongest baseline test mean (%)</x:t>
  </x:si>
  <x:si>
    <x:t xml:space="preserve">Raw rows imported unchanged</x:t>
  </x:si>
  <x:si>
    <x:t xml:space="preserve">SRC-v16c rows used</x:t>
  </x:si>
  <x:si>
    <x:t xml:space="preserve">Strongest baseline method</x:t>
  </x:si>
  <x:si>
    <x:t xml:space="preserve">Baseline rows used</x:t>
  </x:si>
  <x:si>
    <x:t xml:space="preserve">SRC source row range</x:t>
  </x:si>
  <x:si>
    <x:t xml:space="preserve">Baseline source row range</x:t>
  </x:si>
  <x:si>
    <x:t xml:space="preserve">Raw_SRC rows 2-11</x:t>
  </x:si>
  <x:si>
    <x:t xml:space="preserve">Raw_baseline rows 2-11</x:t>
  </x:si>
  <x:si>
    <x:t xml:space="preserve">Raw_SRC rows 12-21</x:t>
  </x:si>
  <x:si>
    <x:t xml:space="preserve">Raw_baseline rows 12-21</x:t>
  </x:si>
  <x:si>
    <x:t xml:space="preserve">Raw_SRC rows 22-31</x:t>
  </x:si>
  <x:si>
    <x:t xml:space="preserve">Raw_baseline rows 22-31</x:t>
  </x:si>
  <x:si>
    <x:t xml:space="preserve">Raw_SRC rows 32-41</x:t>
  </x:si>
  <x:si>
    <x:t xml:space="preserve">Raw_baseline rows 32-41</x:t>
  </x:si>
  <x:si>
    <x:t xml:space="preserve">Raw_SRC rows 42-51</x:t>
  </x:si>
  <x:si>
    <x:t xml:space="preserve">Raw_baseline rows 42-51</x:t>
  </x:si>
  <x:si>
    <x:t xml:space="preserve">Raw_SRC rows 52-61</x:t>
  </x:si>
  <x:si>
    <x:t xml:space="preserve">Raw_baseline rows 52-61</x:t>
  </x:si>
  <x:si>
    <x:t xml:space="preserve">Source file</x:t>
  </x:si>
  <x:si>
    <x:t xml:space="preserve">Size bytes</x:t>
  </x:si>
  <x:si>
    <x:t xml:space="preserve">SHA-256 first 16 hex</x:t>
  </x:si>
  <x:si>
    <x:t xml:space="preserve">8575c8ab68224f29</x:t>
  </x:si>
  <x:si>
    <x:t xml:space="preserve">e33ac29aed2aabea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</x:si>
</x:sst>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000000"/>
  </x:numFmts>
  <x:fonts count="27">
    <x:font>
      <x:sz val="11"/>
      <x:color theme="1"/>
      <x:name val="Calibri"/>
    </x:font>
    <x:font>
      <x:b/>
      <x:sz val="11"/>
      <x:name val="Calibri"/>
    </x:font>
    <x:font>
      <x:b/>
      <x:sz val="13"/>
      <x:color rgb="1F4E78"/>
      <x:name val="Calibri"/>
    </x:font>
    <x:font>
      <x:sz val="11"/>
      <x:color rgb="000000"/>
      <x:name val="Calibri"/>
    </x:font>
    <x:font>
      <x:sz val="11"/>
      <x:color rgb="008000"/>
      <x:name val="Calibri"/>
    </x:font>
    <x:font>
      <x:b/>
      <x:sz val="11"/>
      <x:color rgb="000000"/>
      <x:name val="Calibri"/>
    </x:font>
    <x:font>
      <x:sz val="11"/>
      <x:color theme="1"/>
      <x:name val="Calibri"/>
    </x:font>
    <x:font>
      <x:sz val="11"/>
      <x:color rgb="0000FF"/>
      <x:name val="Calibri"/>
    </x:font>
    <x:font>
      <x:sz val="11"/>
      <x:color rgb="800080"/>
      <x:name val="Calibri"/>
    </x:font>
    <x:font>
      <x:sz val="11"/>
      <x:color rgb="FF000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b/>
      <x:sz val="11"/>
      <x:color rgb="FFFFFF"/>
      <x:name val="Calibri"/>
    </x:font>
    <x:font>
      <x:sz val="11"/>
      <x:color rgb="FA7D00"/>
      <x:name val="Calibri"/>
    </x:font>
    <x:font>
      <x:b/>
      <x:sz val="11"/>
      <x:color theme="1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宋体"/>
    </x:font>
  </x:fonts>
  <x:fills count="40">
    <x:fill>
      <x:patternFill patternType="none"/>
    </x:fill>
    <x:fill>
      <x:patternFill patternType="gray125"/>
    </x:fill>
    <x:fill>
      <x:patternFill patternType="solid">
        <x:fgColor rgb="FCE4D6"/>
      </x:patternFill>
    </x:fill>
    <x:fill>
      <x:patternFill patternType="solid">
        <x:fgColor rgb="BDD7EE"/>
      </x:patternFill>
    </x:fill>
    <x:fill>
      <x:patternFill patternType="solid">
        <x:fgColor rgb="D9EAF7"/>
      </x:patternFill>
    </x:fill>
    <x:fill>
      <x:patternFill patternType="solid">
        <x:fgColor rgb="E4DFEC"/>
      </x:patternFill>
    </x:fill>
    <x:fill>
      <x:patternFill patternType="solid">
        <x:fgColor rgb="DDEBF7"/>
      </x:patternFill>
    </x:fill>
    <x:fill>
      <x:patternFill patternType="solid">
        <x:fgColor rgb="E2F0D9"/>
      </x:patternFill>
    </x:fill>
    <x:fill>
      <x:patternFill patternType="solid">
        <x:fgColor rgb="FFFFFF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n">
        <x:color rgb="D9E2F3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6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9" borderId="2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10" borderId="5" applyNumberFormat="0" applyAlignment="0" applyProtection="0">
      <x:alignment vertical="center"/>
    </x:xf>
    <x:xf numFmtId="0" fontId="16" fillId="11" borderId="6" applyNumberFormat="0" applyAlignment="0" applyProtection="0">
      <x:alignment vertical="center"/>
    </x:xf>
    <x:xf numFmtId="0" fontId="17" fillId="11" borderId="5" applyNumberFormat="0" applyAlignment="0" applyProtection="0">
      <x:alignment vertical="center"/>
    </x:xf>
    <x:xf numFmtId="0" fontId="18" fillId="12" borderId="7" applyNumberFormat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5" fillId="37" borderId="0" applyNumberFormat="0" applyBorder="0" applyAlignment="0" applyProtection="0">
      <x:alignment vertical="center"/>
    </x:xf>
    <x:xf numFmtId="0" fontId="25" fillId="38" borderId="0" applyNumberFormat="0" applyBorder="0" applyAlignment="0" applyProtection="0">
      <x:alignment vertical="center"/>
    </x:xf>
    <x:xf numFmtId="0" fontId="24" fillId="39" borderId="0" applyNumberFormat="0" applyBorder="0" applyAlignment="0" applyProtection="0">
      <x:alignment vertical="center"/>
    </x:xf>
    <x:xf numFmtId="0" fontId="0" fillId="0" borderId="0"/>
  </x:cellStyleXfs>
  <x:cellXfs count="41">
    <x:xf numFmtId="0" fontId="0" fillId="0" borderId="0" xfId="49"/>
    <x:xf numFmtId="0" fontId="1" fillId="2" borderId="0" xfId="49" applyFont="1" applyFill="1" applyAlignment="1">
      <x:alignment vertical="center" wrapText="1"/>
    </x:xf>
    <x:xf numFmtId="0" fontId="0" fillId="0" borderId="0" xfId="49" applyAlignment="1">
      <x:alignment vertical="center" wrapText="1"/>
    </x:xf>
    <x:xf numFmtId="0" fontId="1" fillId="0" borderId="0" xfId="49" applyFont="1" applyAlignment="1">
      <x:alignment vertical="center" wrapText="1"/>
    </x:xf>
    <x:xf numFmtId="0" fontId="1" fillId="3" borderId="0" xfId="49" applyFont="1" applyFill="1" applyAlignment="1">
      <x:alignment vertical="center" wrapText="1"/>
    </x:xf>
    <x:xf numFmtId="0" fontId="1" fillId="3" borderId="0" xfId="49" applyFont="1" applyFill="1"/>
    <x:xf numFmtId="0" fontId="2" fillId="4" borderId="0" xfId="49" applyFont="1" applyFill="1" applyAlignment="1">
      <x:alignment vertical="center" wrapText="1"/>
    </x:xf>
    <x:xf numFmtId="0" fontId="1" fillId="5" borderId="0" xfId="49" applyFont="1" applyFill="1" applyAlignment="1">
      <x:alignment vertical="center" wrapText="1"/>
    </x:xf>
    <x:xf numFmtId="0" fontId="3" fillId="5" borderId="0" xfId="49" applyFont="1" applyFill="1" applyAlignment="1">
      <x:alignment vertical="center" wrapText="1"/>
    </x:xf>
    <x:xf numFmtId="2" fontId="3" fillId="5" borderId="0" xfId="49" applyNumberFormat="1" applyFont="1" applyFill="1" applyAlignment="1">
      <x:alignment vertical="center" wrapText="1"/>
    </x:xf>
    <x:xf numFmtId="176" fontId="3" fillId="5" borderId="0" xfId="49" applyNumberFormat="1" applyFont="1" applyFill="1" applyAlignment="1">
      <x:alignment vertical="center" wrapText="1"/>
    </x:xf>
    <x:xf numFmtId="0" fontId="1" fillId="6" borderId="0" xfId="49" applyFont="1" applyFill="1" applyAlignment="1">
      <x:alignment vertical="center" wrapText="1"/>
    </x:xf>
    <x:xf numFmtId="0" fontId="3" fillId="6" borderId="0" xfId="49" applyFont="1" applyFill="1" applyAlignment="1">
      <x:alignment vertical="center" wrapText="1"/>
    </x:xf>
    <x:xf numFmtId="2" fontId="3" fillId="6" borderId="0" xfId="49" applyNumberFormat="1" applyFont="1" applyFill="1" applyAlignment="1">
      <x:alignment vertical="center" wrapText="1"/>
    </x:xf>
    <x:xf numFmtId="176" fontId="3" fillId="6" borderId="0" xfId="49" applyNumberFormat="1" applyFont="1" applyFill="1" applyAlignment="1">
      <x:alignment vertical="center" wrapText="1"/>
    </x:xf>
    <x:xf numFmtId="0" fontId="3" fillId="0" borderId="0" xfId="49" applyFont="1" applyAlignment="1">
      <x:alignment vertical="center" wrapText="1"/>
    </x:xf>
    <x:xf numFmtId="2" fontId="3" fillId="0" borderId="0" xfId="49" applyNumberFormat="1" applyFont="1" applyAlignment="1">
      <x:alignment vertical="center" wrapText="1"/>
    </x:xf>
    <x:xf numFmtId="176" fontId="3" fillId="0" borderId="0" xfId="49" applyNumberFormat="1" applyFont="1" applyAlignment="1">
      <x:alignment vertical="center" wrapText="1"/>
    </x:xf>
    <x:xf numFmtId="2" fontId="0" fillId="0" borderId="0" xfId="49" applyNumberFormat="1" applyAlignment="1">
      <x:alignment vertical="center" wrapText="1"/>
    </x:xf>
    <x:xf numFmtId="176" fontId="0" fillId="0" borderId="0" xfId="49" applyNumberFormat="1" applyAlignment="1">
      <x:alignment vertical="center" wrapText="1"/>
    </x:xf>
    <x:xf numFmtId="0" fontId="1" fillId="3" borderId="0" xfId="49" applyFont="1" applyFill="1" applyAlignment="1">
      <x:alignment horizontal="center" wrapText="1"/>
    </x:xf>
    <x:xf numFmtId="0" fontId="3" fillId="0" borderId="0" xfId="49" applyFont="1"/>
    <x:xf numFmtId="2" fontId="3" fillId="0" borderId="0" xfId="49" applyNumberFormat="1" applyFont="1"/>
    <x:xf numFmtId="2" fontId="0" fillId="0" borderId="0" xfId="49" applyNumberFormat="1"/>
    <x:xf numFmtId="0" fontId="1" fillId="0" borderId="0" xfId="49" applyFont="1"/>
    <x:xf numFmtId="2" fontId="1" fillId="6" borderId="0" xfId="49" applyNumberFormat="1" applyFont="1" applyFill="1"/>
    <x:xf numFmtId="0" fontId="1" fillId="5" borderId="0" xfId="49" applyFont="1" applyFill="1" applyAlignment="1">
      <x:alignment horizontal="center" wrapText="1"/>
    </x:xf>
    <x:xf numFmtId="0" fontId="1" fillId="7" borderId="0" xfId="49" applyFont="1" applyFill="1" applyAlignment="1">
      <x:alignment vertical="center" wrapText="1"/>
    </x:xf>
    <x:xf numFmtId="0" fontId="4" fillId="0" borderId="0" xfId="49" applyFont="1" applyAlignment="1">
      <x:alignment vertical="center" wrapText="1"/>
    </x:xf>
    <x:xf numFmtId="176" fontId="4" fillId="0" borderId="0" xfId="49" applyNumberFormat="1" applyFont="1" applyAlignment="1">
      <x:alignment vertical="center" wrapText="1"/>
    </x:xf>
    <x:xf numFmtId="0" fontId="1" fillId="7" borderId="1" xfId="49" applyFont="1" applyFill="1" applyBorder="1" applyAlignment="1">
      <x:alignment vertical="center" wrapText="1"/>
    </x:xf>
    <x:xf numFmtId="0" fontId="1" fillId="3" borderId="0" xfId="49" applyFont="1" applyFill="1" applyAlignment="1">
      <x:alignment horizontal="center" vertical="center" wrapText="1"/>
    </x:xf>
    <x:xf numFmtId="0" fontId="3" fillId="0" borderId="0" xfId="49" applyFont="1" applyAlignment="1">
      <x:alignment horizontal="left" vertical="center" wrapText="1"/>
    </x:xf>
    <x:xf numFmtId="2" fontId="3" fillId="8" borderId="0" xfId="49" applyNumberFormat="1" applyFont="1" applyFill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0" fillId="0" borderId="0" xfId="49" applyAlignment="1">
      <x:alignment horizontal="left" vertical="center" wrapText="1"/>
    </x:xf>
    <x:xf numFmtId="2" fontId="0" fillId="0" borderId="0" xfId="49" applyNumberFormat="1" applyAlignment="1">
      <x:alignment horizontal="center" vertical="center" wrapText="1"/>
    </x:xf>
    <x:xf numFmtId="0" fontId="0" fillId="0" borderId="0" xfId="49" applyAlignment="1">
      <x:alignment horizontal="center" vertical="center" wrapText="1"/>
    </x:xf>
    <x:xf numFmtId="0" fontId="1" fillId="6" borderId="0" xfId="49" applyFont="1" applyFill="1" applyAlignment="1">
      <x:alignment horizontal="left" vertical="center" wrapText="1"/>
    </x:xf>
    <x:xf numFmtId="2" fontId="1" fillId="6" borderId="0" xfId="49" applyNumberFormat="1" applyFont="1" applyFill="1" applyAlignment="1">
      <x:alignment horizontal="left" vertical="center" wrapText="1"/>
    </x:xf>
    <x:xf numFmtId="2" fontId="5" fillId="6" borderId="0" xfId="49" applyNumberFormat="1" applyFont="1" applyFill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4e93587f24ee2" /><Relationship Type="http://schemas.openxmlformats.org/officeDocument/2006/relationships/theme" Target="/xl/theme/theme1.xml" Id="R6173334297df47b0" /><Relationship Type="http://schemas.openxmlformats.org/officeDocument/2006/relationships/sharedStrings" Target="/xl/sharedStrings.xml" Id="R745bf093f75d4863" /><Relationship Type="http://schemas.openxmlformats.org/officeDocument/2006/relationships/worksheet" Target="/xl/worksheets/sheet1.xml" Id="R817b692742ab451f" /><Relationship Type="http://schemas.openxmlformats.org/officeDocument/2006/relationships/worksheet" Target="/xl/worksheets/sheet2.xml" Id="Rec91c38e791c4076" /><Relationship Type="http://schemas.openxmlformats.org/officeDocument/2006/relationships/worksheet" Target="/xl/worksheets/sheet3.xml" Id="R5e1a6cc7f9344322" /><Relationship Type="http://schemas.openxmlformats.org/officeDocument/2006/relationships/worksheet" Target="/xl/worksheets/sheet4.xml" Id="Rfade3b4ec6204e75" /><Relationship Type="http://schemas.openxmlformats.org/officeDocument/2006/relationships/worksheet" Target="/xl/worksheets/sheet5.xml" Id="Rfe6bde88ade643f5" /><Relationship Type="http://schemas.openxmlformats.org/officeDocument/2006/relationships/worksheet" Target="/xl/worksheets/sheet6.xml" Id="R63b73bbb37f647cf" /><Relationship Type="http://schemas.openxmlformats.org/officeDocument/2006/relationships/worksheet" Target="/xl/worksheets/sheet7.xml" Id="R20ee084e76ed4814" /><Relationship Type="http://schemas.microsoft.com/office/2017/10/relationships/person" Target="/xl/persons/person.xml" Id="R8baafac698e142bd" /></Relationships>
</file>

<file path=xl/persons/person.xml><?xml version="1.0" encoding="utf-8"?>
<xltc:personList xmlns:xltc="http://schemas.microsoft.com/office/spreadsheetml/2018/threadedcomments">
  <xltc:person displayName="OpenAI" id="{94E4373B-1362-B203-09A3-606E906163D1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a7ebe527c714e4c" /><Relationship Type="http://schemas.openxmlformats.org/officeDocument/2006/relationships/vmlDrawing" Target="/xl/drawings/vmldrawing.vml" Id="R6a5dedab17524c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18" customWidth="1"/>
    <x:col min="2" max="3" width="28" customWidth="1"/>
    <x:col min="4" max="4" width="14" customWidth="1"/>
    <x:col min="5" max="5" width="18" customWidth="1"/>
    <x:col min="6" max="6" width="8" customWidth="1"/>
  </x:cols>
  <x:sheetData>
    <x:row r="1" ht="22" customHeight="1">
      <x:c r="A1" s="31" t="s">
        <x:v>0</x:v>
      </x:c>
      <x:c r="B1" s="31" t="s">
        <x:v>1</x:v>
      </x:c>
      <x:c r="C1" s="31" t="s">
        <x:v>2</x:v>
      </x:c>
      <x:c r="D1" s="31" t="s">
        <x:v>3</x:v>
      </x:c>
      <x:c r="E1" s="31" t="s">
        <x:v>4</x:v>
      </x:c>
      <x:c r="F1" s="31" t="s">
        <x:v>5</x:v>
      </x:c>
    </x:row>
    <x:row r="2" ht="22" customHeight="1">
      <x:c r="A2" s="32" t="str">
        <x:f>Compact_Summary!A2</x:f>
        <x:v>amazon-computers</x:v>
      </x:c>
      <x:c r="B2" s="32" t="str">
        <x:f>Compact_Summary!B2&amp;" "&amp;TEXT(Compact_Summary!F2,"0.00")&amp;" ± "&amp;TEXT(Compact_Summary!G2,"0.00")</x:f>
        <x:v>GraphSAGE 76.84 ± 2.28</x:v>
      </x:c>
      <x:c r="C2" s="32" t="str">
        <x:f>"SRC-v16c "&amp;TEXT(Compact_Summary!K2,"0.00")&amp;" ± "&amp;TEXT(Compact_Summary!L2,"0.00")</x:f>
        <x:v>SRC-v16c 78.71 ± 1.15</x:v>
      </x:c>
      <x:c r="D2" s="33" t="n">
        <x:f>Compact_Summary!M2</x:f>
        <x:v>1.8699063403419984</x:v>
      </x:c>
      <x:c r="E2" s="32" t="str">
        <x:f>Compact_Summary!B2</x:f>
        <x:v>GraphSAGE</x:v>
      </x:c>
      <x:c r="F2" s="34" t="n">
        <x:f>Compact_Summary!H2</x:f>
        <x:v>10</x:v>
      </x:c>
    </x:row>
    <x:row r="3" ht="22" customHeight="1">
      <x:c r="A3" s="32" t="str">
        <x:f>Compact_Summary!A3</x:f>
        <x:v>amazon-photo</x:v>
      </x:c>
      <x:c r="B3" s="32" t="str">
        <x:f>Compact_Summary!B3&amp;" "&amp;TEXT(Compact_Summary!F3,"0.00")&amp;" ± "&amp;TEXT(Compact_Summary!G3,"0.00")</x:f>
        <x:v>GraphSAGE 88.37 ± 1.86</x:v>
      </x:c>
      <x:c r="C3" s="32" t="str">
        <x:f>"SRC-v16c "&amp;TEXT(Compact_Summary!K3,"0.00")&amp;" ± "&amp;TEXT(Compact_Summary!L3,"0.00")</x:f>
        <x:v>SRC-v16c 88.76 ± 1.35</x:v>
      </x:c>
      <x:c r="D3" s="33" t="n">
        <x:f>Compact_Summary!M3</x:f>
        <x:v>0.39034558296202704</x:v>
      </x:c>
      <x:c r="E3" s="32" t="str">
        <x:f>Compact_Summary!B3</x:f>
        <x:v>GraphSAGE</x:v>
      </x:c>
      <x:c r="F3" s="34" t="n">
        <x:f>Compact_Summary!H3</x:f>
        <x:v>10</x:v>
      </x:c>
    </x:row>
    <x:row r="4" ht="22" customHeight="1">
      <x:c r="A4" s="32" t="str">
        <x:f>Compact_Summary!A4</x:f>
        <x:v>chameleon</x:v>
      </x:c>
      <x:c r="B4" s="32" t="str">
        <x:f>Compact_Summary!B4&amp;" "&amp;TEXT(Compact_Summary!F4,"0.00")&amp;" ± "&amp;TEXT(Compact_Summary!G4,"0.00")</x:f>
        <x:v>LINKX 71.56 ± 1.49</x:v>
      </x:c>
      <x:c r="C4" s="32" t="str">
        <x:f>"SRC-v16c "&amp;TEXT(Compact_Summary!K4,"0.00")&amp;" ± "&amp;TEXT(Compact_Summary!L4,"0.00")</x:f>
        <x:v>SRC-v16c 72.48 ± 1.85</x:v>
      </x:c>
      <x:c r="D4" s="33" t="n">
        <x:f>Compact_Summary!M4</x:f>
        <x:v>0.9210532067114912</x:v>
      </x:c>
      <x:c r="E4" s="32" t="str">
        <x:f>Compact_Summary!B4</x:f>
        <x:v>LINKX</x:v>
      </x:c>
      <x:c r="F4" s="34" t="n">
        <x:f>Compact_Summary!H4</x:f>
        <x:v>10</x:v>
      </x:c>
    </x:row>
    <x:row r="5" ht="22" customHeight="1">
      <x:c r="A5" s="32" t="str">
        <x:f>Compact_Summary!A5</x:f>
        <x:v>cornell</x:v>
      </x:c>
      <x:c r="B5" s="32" t="str">
        <x:f>Compact_Summary!B5&amp;" "&amp;TEXT(Compact_Summary!F5,"0.00")&amp;" ± "&amp;TEXT(Compact_Summary!G5,"0.00")</x:f>
        <x:v>GraphSAGE 72.43 ± 6.47</x:v>
      </x:c>
      <x:c r="C5" s="32" t="str">
        <x:f>"SRC-v16c "&amp;TEXT(Compact_Summary!K5,"0.00")&amp;" ± "&amp;TEXT(Compact_Summary!L5,"0.00")</x:f>
        <x:v>SRC-v16c 75.41 ± 7.26</x:v>
      </x:c>
      <x:c r="D5" s="33" t="n">
        <x:f>Compact_Summary!M5</x:f>
        <x:v>2.9729732307228005</x:v>
      </x:c>
      <x:c r="E5" s="32" t="str">
        <x:f>Compact_Summary!B5</x:f>
        <x:v>GraphSAGE</x:v>
      </x:c>
      <x:c r="F5" s="34" t="n">
        <x:f>Compact_Summary!H5</x:f>
        <x:v>10</x:v>
      </x:c>
    </x:row>
    <x:row r="6" ht="22" customHeight="1">
      <x:c r="A6" s="32" t="str">
        <x:f>Compact_Summary!A6</x:f>
        <x:v>texas</x:v>
      </x:c>
      <x:c r="B6" s="32" t="str">
        <x:f>Compact_Summary!B6&amp;" "&amp;TEXT(Compact_Summary!F6,"0.00")&amp;" ± "&amp;TEXT(Compact_Summary!G6,"0.00")</x:f>
        <x:v>GraphSAGE 84.32 ± 4.73</x:v>
      </x:c>
      <x:c r="C6" s="32" t="str">
        <x:f>"SRC-v16c "&amp;TEXT(Compact_Summary!K6,"0.00")&amp;" ± "&amp;TEXT(Compact_Summary!L6,"0.00")</x:f>
        <x:v>SRC-v16c 86.32 ± 4.08</x:v>
      </x:c>
      <x:c r="D6" s="33" t="n">
        <x:f>Compact_Summary!M6</x:f>
        <x:v>1.9914647466257804</x:v>
      </x:c>
      <x:c r="E6" s="32" t="str">
        <x:f>Compact_Summary!B6</x:f>
        <x:v>GraphSAGE</x:v>
      </x:c>
      <x:c r="F6" s="34" t="n">
        <x:f>Compact_Summary!H6</x:f>
        <x:v>10</x:v>
      </x:c>
    </x:row>
    <x:row r="7" ht="22" customHeight="1">
      <x:c r="A7" s="32" t="str">
        <x:f>Compact_Summary!A7</x:f>
        <x:v>wisconsin</x:v>
      </x:c>
      <x:c r="B7" s="32" t="str">
        <x:f>Compact_Summary!B7&amp;" "&amp;TEXT(Compact_Summary!F7,"0.00")&amp;" ± "&amp;TEXT(Compact_Summary!G7,"0.00")</x:f>
        <x:v>GraphSAGE 83.33 ± 5.25</x:v>
      </x:c>
      <x:c r="C7" s="32" t="str">
        <x:f>"SRC-v16c "&amp;TEXT(Compact_Summary!K7,"0.00")&amp;" ± "&amp;TEXT(Compact_Summary!L7,"0.00")</x:f>
        <x:v>SRC-v16c 84.31 ± 4.24</x:v>
      </x:c>
      <x:c r="D7" s="33" t="n">
        <x:f>Compact_Summary!M7</x:f>
        <x:v>0.9803911634520261</x:v>
      </x:c>
      <x:c r="E7" s="32" t="str">
        <x:f>Compact_Summary!B7</x:f>
        <x:v>GraphSAGE</x:v>
      </x:c>
      <x:c r="F7" s="34" t="n">
        <x:f>Compact_Summary!H7</x:f>
        <x:v>10</x:v>
      </x:c>
    </x:row>
    <x:row r="8" ht="22" customHeight="1">
      <x:c r="A8" s="35"/>
      <x:c r="B8" s="35"/>
      <x:c r="C8" s="35"/>
      <x:c r="D8" s="36"/>
      <x:c r="E8" s="35"/>
      <x:c r="F8" s="37"/>
    </x:row>
    <x:row r="9" ht="22" customHeight="1">
      <x:c r="A9" s="38" t="s">
        <x:v>6</x:v>
      </x:c>
      <x:c r="B9" s="39" t="n">
        <x:f>Compact_Summary!F9</x:f>
        <x:v>79.47608083486557</x:v>
      </x:c>
      <x:c r="C9" s="39" t="n">
        <x:f>Compact_Summary!K9</x:f>
        <x:v>80.99710321333492</x:v>
      </x:c>
      <x:c r="D9" s="40" t="n">
        <x:f>Compact_Summary!M9</x:f>
        <x:v>1.521022378469354</x:v>
      </x:c>
      <x:c r="E9" s="35"/>
      <x:c r="F9" s="37"/>
    </x:row>
  </x:sheetData>
  <x:pageMargins left="0.7" right="0.7" top="0.75" bottom="0.75" header="0.3" footer="0.3"/>
  <x:legacyDrawing xmlns:r="http://schemas.openxmlformats.org/officeDocument/2006/relationships" r:id="R6a5dedab17524c9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4" width="12" customWidth="1"/>
    <x:col min="5" max="5" width="14" customWidth="1"/>
    <x:col min="6" max="6" width="15" customWidth="1"/>
    <x:col min="7" max="7" width="13" customWidth="1"/>
    <x:col min="8" max="8" width="14" customWidth="1"/>
    <x:col min="9" max="9" width="17" customWidth="1"/>
    <x:col min="10" max="14" width="12" customWidth="1"/>
    <x:col min="15" max="15" width="17" customWidth="1"/>
    <x:col min="16" max="16" width="16" customWidth="1"/>
    <x:col min="17" max="17" width="12" customWidth="1"/>
    <x:col min="18" max="20" width="13" customWidth="1"/>
  </x:cols>
  <x:sheetData>
    <x:row r="1" ht="18" customHeight="1">
      <x:c r="A1" s="30" t="s">
        <x:v>7</x:v>
      </x:c>
      <x:c r="B1" s="30" t="s">
        <x:v>8</x:v>
      </x:c>
      <x:c r="C1" s="30" t="s">
        <x:v>9</x:v>
      </x:c>
      <x:c r="D1" s="30" t="s">
        <x:v>10</x:v>
      </x:c>
      <x:c r="E1" s="30" t="s">
        <x:v>11</x:v>
      </x:c>
      <x:c r="F1" s="30" t="s">
        <x:v>12</x:v>
      </x:c>
      <x:c r="G1" s="30" t="s">
        <x:v>13</x:v>
      </x:c>
      <x:c r="H1" s="30" t="s">
        <x:v>14</x:v>
      </x:c>
      <x:c r="I1" s="30" t="s">
        <x:v>15</x:v>
      </x:c>
      <x:c r="J1" s="30" t="s">
        <x:v>16</x:v>
      </x:c>
      <x:c r="K1" s="30" t="s">
        <x:v>17</x:v>
      </x:c>
      <x:c r="L1" s="30" t="s">
        <x:v>18</x:v>
      </x:c>
      <x:c r="M1" s="30" t="s">
        <x:v>19</x:v>
      </x:c>
      <x:c r="N1" s="30" t="s">
        <x:v>20</x:v>
      </x:c>
      <x:c r="O1" s="30" t="s">
        <x:v>21</x:v>
      </x:c>
      <x:c r="P1" s="30" t="s">
        <x:v>22</x:v>
      </x:c>
      <x:c r="Q1" s="30" t="s">
        <x:v>23</x:v>
      </x:c>
      <x:c r="R1" s="30" t="s">
        <x:v>24</x:v>
      </x:c>
      <x:c r="S1" s="30" t="s">
        <x:v>25</x:v>
      </x:c>
      <x:c r="T1" s="30" t="s">
        <x:v>26</x:v>
      </x:c>
    </x:row>
    <x:row r="2" ht="18" customHeight="1">
      <x:c r="A2" s="28" t="s">
        <x:v>27</x:v>
      </x:c>
      <x:c r="B2" s="28">
        <x:v>0</x:v>
      </x:c>
      <x:c r="C2" s="28">
        <x:v>20260419</x:v>
      </x:c>
      <x:c r="D2" s="28"/>
      <x:c r="E2" s="28" t="s">
        <x:v>28</x:v>
      </x:c>
      <x:c r="F2" s="29">
        <x:v>1</x:v>
      </x:c>
      <x:c r="G2" s="29">
        <x:v>0.853333333333333</x:v>
      </x:c>
      <x:c r="H2" s="29">
        <x:v>0.776184726833685</x:v>
      </x:c>
      <x:c r="I2" s="29">
        <x:v>0.853333333333333</x:v>
      </x:c>
      <x:c r="J2" s="28">
        <x:v>4000</x:v>
      </x:c>
      <x:c r="K2" s="28">
        <x:v>64</x:v>
      </x:c>
      <x:c r="L2" s="29">
        <x:v>0.95</x:v>
      </x:c>
      <x:c r="M2" s="28" t="s">
        <x:v>29</x:v>
      </x:c>
      <x:c r="N2" s="29">
        <x:v>0.6</x:v>
      </x:c>
      <x:c r="O2" s="28" t="s">
        <x:v>30</x:v>
      </x:c>
      <x:c r="P2" s="28" t="s">
        <x:v>31</x:v>
      </x:c>
      <x:c r="Q2" s="28" t="s">
        <x:v>32</x:v>
      </x:c>
      <x:c r="R2" s="28" t="s">
        <x:v>33</x:v>
      </x:c>
      <x:c r="S2" s="28">
        <x:v>42</x:v>
      </x:c>
      <x:c r="T2" s="28" t="s">
        <x:v>34</x:v>
      </x:c>
    </x:row>
    <x:row r="3" ht="18" customHeight="1">
      <x:c r="A3" s="28" t="s">
        <x:v>27</x:v>
      </x:c>
      <x:c r="B3" s="28">
        <x:v>1</x:v>
      </x:c>
      <x:c r="C3" s="28">
        <x:v>20260420</x:v>
      </x:c>
      <x:c r="D3" s="28"/>
      <x:c r="E3" s="28" t="s">
        <x:v>28</x:v>
      </x:c>
      <x:c r="F3" s="29">
        <x:v>1</x:v>
      </x:c>
      <x:c r="G3" s="29">
        <x:v>0.866666666666667</x:v>
      </x:c>
      <x:c r="H3" s="29">
        <x:v>0.804859643827347</x:v>
      </x:c>
      <x:c r="I3" s="29">
        <x:v>0.866666666666667</x:v>
      </x:c>
      <x:c r="J3" s="28">
        <x:v>4000</x:v>
      </x:c>
      <x:c r="K3" s="28">
        <x:v>64</x:v>
      </x:c>
      <x:c r="L3" s="29">
        <x:v>0.95</x:v>
      </x:c>
      <x:c r="M3" s="28" t="s">
        <x:v>35</x:v>
      </x:c>
      <x:c r="N3" s="29">
        <x:v>0.4</x:v>
      </x:c>
      <x:c r="O3" s="28" t="s">
        <x:v>30</x:v>
      </x:c>
      <x:c r="P3" s="28" t="s">
        <x:v>31</x:v>
      </x:c>
      <x:c r="Q3" s="28" t="s">
        <x:v>32</x:v>
      </x:c>
      <x:c r="R3" s="28" t="s">
        <x:v>33</x:v>
      </x:c>
      <x:c r="S3" s="28">
        <x:v>43</x:v>
      </x:c>
      <x:c r="T3" s="28" t="s">
        <x:v>34</x:v>
      </x:c>
    </x:row>
    <x:row r="4" ht="18" customHeight="1">
      <x:c r="A4" s="28" t="s">
        <x:v>27</x:v>
      </x:c>
      <x:c r="B4" s="28">
        <x:v>2</x:v>
      </x:c>
      <x:c r="C4" s="28">
        <x:v>20260421</x:v>
      </x:c>
      <x:c r="D4" s="28"/>
      <x:c r="E4" s="28" t="s">
        <x:v>28</x:v>
      </x:c>
      <x:c r="F4" s="29">
        <x:v>1</x:v>
      </x:c>
      <x:c r="G4" s="29">
        <x:v>0.843333333333333</x:v>
      </x:c>
      <x:c r="H4" s="29">
        <x:v>0.774147298520978</x:v>
      </x:c>
      <x:c r="I4" s="29">
        <x:v>0.843333333333333</x:v>
      </x:c>
      <x:c r="J4" s="28">
        <x:v>4000</x:v>
      </x:c>
      <x:c r="K4" s="28">
        <x:v>64</x:v>
      </x:c>
      <x:c r="L4" s="29">
        <x:v>0.99</x:v>
      </x:c>
      <x:c r="M4" s="28" t="s">
        <x:v>29</x:v>
      </x:c>
      <x:c r="N4" s="29">
        <x:v>0.6</x:v>
      </x:c>
      <x:c r="O4" s="28" t="s">
        <x:v>30</x:v>
      </x:c>
      <x:c r="P4" s="28" t="s">
        <x:v>31</x:v>
      </x:c>
      <x:c r="Q4" s="28" t="s">
        <x:v>32</x:v>
      </x:c>
      <x:c r="R4" s="28" t="s">
        <x:v>33</x:v>
      </x:c>
      <x:c r="S4" s="28">
        <x:v>44</x:v>
      </x:c>
      <x:c r="T4" s="28" t="s">
        <x:v>34</x:v>
      </x:c>
    </x:row>
    <x:row r="5" ht="18" customHeight="1">
      <x:c r="A5" s="28" t="s">
        <x:v>27</x:v>
      </x:c>
      <x:c r="B5" s="28">
        <x:v>3</x:v>
      </x:c>
      <x:c r="C5" s="28">
        <x:v>20260422</x:v>
      </x:c>
      <x:c r="D5" s="28"/>
      <x:c r="E5" s="28" t="s">
        <x:v>28</x:v>
      </x:c>
      <x:c r="F5" s="29">
        <x:v>1</x:v>
      </x:c>
      <x:c r="G5" s="29">
        <x:v>0.86</x:v>
      </x:c>
      <x:c r="H5" s="29">
        <x:v>0.796030787805614</x:v>
      </x:c>
      <x:c r="I5" s="29">
        <x:v>0.86</x:v>
      </x:c>
      <x:c r="J5" s="28">
        <x:v>4000</x:v>
      </x:c>
      <x:c r="K5" s="28">
        <x:v>64</x:v>
      </x:c>
      <x:c r="L5" s="29">
        <x:v>0.95</x:v>
      </x:c>
      <x:c r="M5" s="28" t="s">
        <x:v>35</x:v>
      </x:c>
      <x:c r="N5" s="29">
        <x:v>0.6</x:v>
      </x:c>
      <x:c r="O5" s="28" t="s">
        <x:v>30</x:v>
      </x:c>
      <x:c r="P5" s="28" t="s">
        <x:v>31</x:v>
      </x:c>
      <x:c r="Q5" s="28" t="s">
        <x:v>32</x:v>
      </x:c>
      <x:c r="R5" s="28" t="s">
        <x:v>33</x:v>
      </x:c>
      <x:c r="S5" s="28">
        <x:v>45</x:v>
      </x:c>
      <x:c r="T5" s="28" t="s">
        <x:v>34</x:v>
      </x:c>
    </x:row>
    <x:row r="6" ht="18" customHeight="1">
      <x:c r="A6" s="28" t="s">
        <x:v>27</x:v>
      </x:c>
      <x:c r="B6" s="28">
        <x:v>4</x:v>
      </x:c>
      <x:c r="C6" s="28">
        <x:v>20260423</x:v>
      </x:c>
      <x:c r="D6" s="28"/>
      <x:c r="E6" s="28" t="s">
        <x:v>28</x:v>
      </x:c>
      <x:c r="F6" s="29">
        <x:v>1</x:v>
      </x:c>
      <x:c r="G6" s="29">
        <x:v>0.86</x:v>
      </x:c>
      <x:c r="H6" s="29">
        <x:v>0.790220344099004</x:v>
      </x:c>
      <x:c r="I6" s="29">
        <x:v>0.86</x:v>
      </x:c>
      <x:c r="J6" s="28">
        <x:v>4000</x:v>
      </x:c>
      <x:c r="K6" s="28">
        <x:v>64</x:v>
      </x:c>
      <x:c r="L6" s="29">
        <x:v>0.95</x:v>
      </x:c>
      <x:c r="M6" s="28" t="s">
        <x:v>35</x:v>
      </x:c>
      <x:c r="N6" s="29">
        <x:v>0.4</x:v>
      </x:c>
      <x:c r="O6" s="28" t="s">
        <x:v>30</x:v>
      </x:c>
      <x:c r="P6" s="28" t="s">
        <x:v>31</x:v>
      </x:c>
      <x:c r="Q6" s="28" t="s">
        <x:v>32</x:v>
      </x:c>
      <x:c r="R6" s="28" t="s">
        <x:v>33</x:v>
      </x:c>
      <x:c r="S6" s="28">
        <x:v>46</x:v>
      </x:c>
      <x:c r="T6" s="28" t="s">
        <x:v>34</x:v>
      </x:c>
    </x:row>
    <x:row r="7" ht="18" customHeight="1">
      <x:c r="A7" s="28" t="s">
        <x:v>27</x:v>
      </x:c>
      <x:c r="B7" s="28">
        <x:v>5</x:v>
      </x:c>
      <x:c r="C7" s="28">
        <x:v>20260424</x:v>
      </x:c>
      <x:c r="D7" s="28"/>
      <x:c r="E7" s="28" t="s">
        <x:v>28</x:v>
      </x:c>
      <x:c r="F7" s="29">
        <x:v>1</x:v>
      </x:c>
      <x:c r="G7" s="29">
        <x:v>0.846666666666667</x:v>
      </x:c>
      <x:c r="H7" s="29">
        <x:v>0.790144883791126</x:v>
      </x:c>
      <x:c r="I7" s="29">
        <x:v>0.846666666666667</x:v>
      </x:c>
      <x:c r="J7" s="28">
        <x:v>4000</x:v>
      </x:c>
      <x:c r="K7" s="28">
        <x:v>64</x:v>
      </x:c>
      <x:c r="L7" s="29">
        <x:v>0.95</x:v>
      </x:c>
      <x:c r="M7" s="28" t="s">
        <x:v>35</x:v>
      </x:c>
      <x:c r="N7" s="29">
        <x:v>0.4</x:v>
      </x:c>
      <x:c r="O7" s="28" t="s">
        <x:v>30</x:v>
      </x:c>
      <x:c r="P7" s="28" t="s">
        <x:v>31</x:v>
      </x:c>
      <x:c r="Q7" s="28" t="s">
        <x:v>32</x:v>
      </x:c>
      <x:c r="R7" s="28" t="s">
        <x:v>33</x:v>
      </x:c>
      <x:c r="S7" s="28">
        <x:v>47</x:v>
      </x:c>
      <x:c r="T7" s="28" t="s">
        <x:v>34</x:v>
      </x:c>
    </x:row>
    <x:row r="8" ht="18" customHeight="1">
      <x:c r="A8" s="28" t="s">
        <x:v>27</x:v>
      </x:c>
      <x:c r="B8" s="28">
        <x:v>6</x:v>
      </x:c>
      <x:c r="C8" s="28">
        <x:v>20260425</x:v>
      </x:c>
      <x:c r="D8" s="28"/>
      <x:c r="E8" s="28" t="s">
        <x:v>28</x:v>
      </x:c>
      <x:c r="F8" s="29">
        <x:v>1</x:v>
      </x:c>
      <x:c r="G8" s="29">
        <x:v>0.86</x:v>
      </x:c>
      <x:c r="H8" s="29">
        <x:v>0.787730153939028</x:v>
      </x:c>
      <x:c r="I8" s="29">
        <x:v>0.86</x:v>
      </x:c>
      <x:c r="J8" s="28">
        <x:v>4000</x:v>
      </x:c>
      <x:c r="K8" s="28">
        <x:v>64</x:v>
      </x:c>
      <x:c r="L8" s="29">
        <x:v>0.95</x:v>
      </x:c>
      <x:c r="M8" s="28" t="s">
        <x:v>35</x:v>
      </x:c>
      <x:c r="N8" s="29">
        <x:v>0.4</x:v>
      </x:c>
      <x:c r="O8" s="28" t="s">
        <x:v>30</x:v>
      </x:c>
      <x:c r="P8" s="28" t="s">
        <x:v>31</x:v>
      </x:c>
      <x:c r="Q8" s="28" t="s">
        <x:v>32</x:v>
      </x:c>
      <x:c r="R8" s="28" t="s">
        <x:v>33</x:v>
      </x:c>
      <x:c r="S8" s="28">
        <x:v>48</x:v>
      </x:c>
      <x:c r="T8" s="28" t="s">
        <x:v>34</x:v>
      </x:c>
    </x:row>
    <x:row r="9" ht="18" customHeight="1">
      <x:c r="A9" s="28" t="s">
        <x:v>27</x:v>
      </x:c>
      <x:c r="B9" s="28">
        <x:v>7</x:v>
      </x:c>
      <x:c r="C9" s="28">
        <x:v>20260426</x:v>
      </x:c>
      <x:c r="D9" s="28"/>
      <x:c r="E9" s="28" t="s">
        <x:v>28</x:v>
      </x:c>
      <x:c r="F9" s="29">
        <x:v>1</x:v>
      </x:c>
      <x:c r="G9" s="29">
        <x:v>0.853333333333333</x:v>
      </x:c>
      <x:c r="H9" s="29">
        <x:v>0.801162088741322</x:v>
      </x:c>
      <x:c r="I9" s="29">
        <x:v>0.853333333333333</x:v>
      </x:c>
      <x:c r="J9" s="28">
        <x:v>4000</x:v>
      </x:c>
      <x:c r="K9" s="28">
        <x:v>64</x:v>
      </x:c>
      <x:c r="L9" s="29">
        <x:v>0.95</x:v>
      </x:c>
      <x:c r="M9" s="28" t="s">
        <x:v>35</x:v>
      </x:c>
      <x:c r="N9" s="29">
        <x:v>0.4</x:v>
      </x:c>
      <x:c r="O9" s="28" t="s">
        <x:v>30</x:v>
      </x:c>
      <x:c r="P9" s="28" t="s">
        <x:v>31</x:v>
      </x:c>
      <x:c r="Q9" s="28" t="s">
        <x:v>32</x:v>
      </x:c>
      <x:c r="R9" s="28" t="s">
        <x:v>33</x:v>
      </x:c>
      <x:c r="S9" s="28">
        <x:v>49</x:v>
      </x:c>
      <x:c r="T9" s="28" t="s">
        <x:v>34</x:v>
      </x:c>
    </x:row>
    <x:row r="10" ht="18" customHeight="1">
      <x:c r="A10" s="28" t="s">
        <x:v>27</x:v>
      </x:c>
      <x:c r="B10" s="28">
        <x:v>8</x:v>
      </x:c>
      <x:c r="C10" s="28">
        <x:v>20260427</x:v>
      </x:c>
      <x:c r="D10" s="28"/>
      <x:c r="E10" s="28" t="s">
        <x:v>28</x:v>
      </x:c>
      <x:c r="F10" s="29">
        <x:v>1</x:v>
      </x:c>
      <x:c r="G10" s="29">
        <x:v>0.873333333333333</x:v>
      </x:c>
      <x:c r="H10" s="29">
        <x:v>0.77210987020827</x:v>
      </x:c>
      <x:c r="I10" s="29">
        <x:v>0.873333333333333</x:v>
      </x:c>
      <x:c r="J10" s="28">
        <x:v>4000</x:v>
      </x:c>
      <x:c r="K10" s="28">
        <x:v>64</x:v>
      </x:c>
      <x:c r="L10" s="29">
        <x:v>0.95</x:v>
      </x:c>
      <x:c r="M10" s="28" t="s">
        <x:v>35</x:v>
      </x:c>
      <x:c r="N10" s="29">
        <x:v>0.6</x:v>
      </x:c>
      <x:c r="O10" s="28" t="s">
        <x:v>30</x:v>
      </x:c>
      <x:c r="P10" s="28" t="s">
        <x:v>31</x:v>
      </x:c>
      <x:c r="Q10" s="28" t="s">
        <x:v>32</x:v>
      </x:c>
      <x:c r="R10" s="28" t="s">
        <x:v>33</x:v>
      </x:c>
      <x:c r="S10" s="28">
        <x:v>50</x:v>
      </x:c>
      <x:c r="T10" s="28" t="s">
        <x:v>34</x:v>
      </x:c>
    </x:row>
    <x:row r="11" ht="18" customHeight="1">
      <x:c r="A11" s="28" t="s">
        <x:v>27</x:v>
      </x:c>
      <x:c r="B11" s="28">
        <x:v>9</x:v>
      </x:c>
      <x:c r="C11" s="28">
        <x:v>20260428</x:v>
      </x:c>
      <x:c r="D11" s="28"/>
      <x:c r="E11" s="28" t="s">
        <x:v>28</x:v>
      </x:c>
      <x:c r="F11" s="29">
        <x:v>1</x:v>
      </x:c>
      <x:c r="G11" s="29">
        <x:v>0.83</x:v>
      </x:c>
      <x:c r="H11" s="29">
        <x:v>0.778373075762149</x:v>
      </x:c>
      <x:c r="I11" s="29">
        <x:v>0.83</x:v>
      </x:c>
      <x:c r="J11" s="28">
        <x:v>4000</x:v>
      </x:c>
      <x:c r="K11" s="28">
        <x:v>64</x:v>
      </x:c>
      <x:c r="L11" s="29">
        <x:v>0.95</x:v>
      </x:c>
      <x:c r="M11" s="28" t="s">
        <x:v>35</x:v>
      </x:c>
      <x:c r="N11" s="29">
        <x:v>0.6</x:v>
      </x:c>
      <x:c r="O11" s="28" t="s">
        <x:v>30</x:v>
      </x:c>
      <x:c r="P11" s="28" t="s">
        <x:v>31</x:v>
      </x:c>
      <x:c r="Q11" s="28" t="s">
        <x:v>32</x:v>
      </x:c>
      <x:c r="R11" s="28" t="s">
        <x:v>33</x:v>
      </x:c>
      <x:c r="S11" s="28">
        <x:v>51</x:v>
      </x:c>
      <x:c r="T11" s="28" t="s">
        <x:v>34</x:v>
      </x:c>
    </x:row>
    <x:row r="12" ht="18" customHeight="1">
      <x:c r="A12" s="28" t="s">
        <x:v>36</x:v>
      </x:c>
      <x:c r="B12" s="28">
        <x:v>0</x:v>
      </x:c>
      <x:c r="C12" s="28">
        <x:v>20260419</x:v>
      </x:c>
      <x:c r="D12" s="28"/>
      <x:c r="E12" s="28" t="s">
        <x:v>28</x:v>
      </x:c>
      <x:c r="F12" s="29">
        <x:v>1</x:v>
      </x:c>
      <x:c r="G12" s="29">
        <x:v>0.925</x:v>
      </x:c>
      <x:c r="H12" s="29">
        <x:v>0.886758620689655</x:v>
      </x:c>
      <x:c r="I12" s="29">
        <x:v>0.925</x:v>
      </x:c>
      <x:c r="J12" s="28">
        <x:v>4000</x:v>
      </x:c>
      <x:c r="K12" s="28">
        <x:v>32</x:v>
      </x:c>
      <x:c r="L12" s="29">
        <x:v>0.9</x:v>
      </x:c>
      <x:c r="M12" s="28" t="s">
        <x:v>35</x:v>
      </x:c>
      <x:c r="N12" s="29">
        <x:v>0.4</x:v>
      </x:c>
      <x:c r="O12" s="28" t="s">
        <x:v>30</x:v>
      </x:c>
      <x:c r="P12" s="28" t="s">
        <x:v>31</x:v>
      </x:c>
      <x:c r="Q12" s="28" t="s">
        <x:v>37</x:v>
      </x:c>
      <x:c r="R12" s="28" t="s">
        <x:v>33</x:v>
      </x:c>
      <x:c r="S12" s="28">
        <x:v>32</x:v>
      </x:c>
      <x:c r="T12" s="28" t="s">
        <x:v>34</x:v>
      </x:c>
    </x:row>
    <x:row r="13" ht="18" customHeight="1">
      <x:c r="A13" s="28" t="s">
        <x:v>36</x:v>
      </x:c>
      <x:c r="B13" s="28">
        <x:v>1</x:v>
      </x:c>
      <x:c r="C13" s="28">
        <x:v>20260420</x:v>
      </x:c>
      <x:c r="D13" s="28"/>
      <x:c r="E13" s="28" t="s">
        <x:v>28</x:v>
      </x:c>
      <x:c r="F13" s="29">
        <x:v>1</x:v>
      </x:c>
      <x:c r="G13" s="29">
        <x:v>0.945833333333333</x:v>
      </x:c>
      <x:c r="H13" s="29">
        <x:v>0.889793103448276</x:v>
      </x:c>
      <x:c r="I13" s="29">
        <x:v>0.945833333333333</x:v>
      </x:c>
      <x:c r="J13" s="28">
        <x:v>4000</x:v>
      </x:c>
      <x:c r="K13" s="28">
        <x:v>32</x:v>
      </x:c>
      <x:c r="L13" s="29">
        <x:v>0.9</x:v>
      </x:c>
      <x:c r="M13" s="28" t="s">
        <x:v>35</x:v>
      </x:c>
      <x:c r="N13" s="29">
        <x:v>0.7</x:v>
      </x:c>
      <x:c r="O13" s="28" t="s">
        <x:v>30</x:v>
      </x:c>
      <x:c r="P13" s="28" t="s">
        <x:v>31</x:v>
      </x:c>
      <x:c r="Q13" s="28" t="s">
        <x:v>37</x:v>
      </x:c>
      <x:c r="R13" s="28" t="s">
        <x:v>33</x:v>
      </x:c>
      <x:c r="S13" s="28">
        <x:v>33</x:v>
      </x:c>
      <x:c r="T13" s="28" t="s">
        <x:v>34</x:v>
      </x:c>
    </x:row>
    <x:row r="14" ht="18" customHeight="1">
      <x:c r="A14" s="28" t="s">
        <x:v>36</x:v>
      </x:c>
      <x:c r="B14" s="28">
        <x:v>2</x:v>
      </x:c>
      <x:c r="C14" s="28">
        <x:v>20260421</x:v>
      </x:c>
      <x:c r="D14" s="28"/>
      <x:c r="E14" s="28" t="s">
        <x:v>28</x:v>
      </x:c>
      <x:c r="F14" s="29">
        <x:v>1</x:v>
      </x:c>
      <x:c r="G14" s="29">
        <x:v>0.9</x:v>
      </x:c>
      <x:c r="H14" s="29">
        <x:v>0.856827586206897</x:v>
      </x:c>
      <x:c r="I14" s="29">
        <x:v>0.9</x:v>
      </x:c>
      <x:c r="J14" s="28">
        <x:v>4000</x:v>
      </x:c>
      <x:c r="K14" s="28">
        <x:v>32</x:v>
      </x:c>
      <x:c r="L14" s="29">
        <x:v>0.9</x:v>
      </x:c>
      <x:c r="M14" s="28" t="s">
        <x:v>29</x:v>
      </x:c>
      <x:c r="N14" s="29">
        <x:v>0.6</x:v>
      </x:c>
      <x:c r="O14" s="28" t="s">
        <x:v>30</x:v>
      </x:c>
      <x:c r="P14" s="28" t="s">
        <x:v>31</x:v>
      </x:c>
      <x:c r="Q14" s="28" t="s">
        <x:v>37</x:v>
      </x:c>
      <x:c r="R14" s="28" t="s">
        <x:v>33</x:v>
      </x:c>
      <x:c r="S14" s="28">
        <x:v>34</x:v>
      </x:c>
      <x:c r="T14" s="28" t="s">
        <x:v>34</x:v>
      </x:c>
    </x:row>
    <x:row r="15" ht="18" customHeight="1">
      <x:c r="A15" s="28" t="s">
        <x:v>36</x:v>
      </x:c>
      <x:c r="B15" s="28">
        <x:v>3</x:v>
      </x:c>
      <x:c r="C15" s="28">
        <x:v>20260422</x:v>
      </x:c>
      <x:c r="D15" s="28"/>
      <x:c r="E15" s="28" t="s">
        <x:v>28</x:v>
      </x:c>
      <x:c r="F15" s="29">
        <x:v>1</x:v>
      </x:c>
      <x:c r="G15" s="29">
        <x:v>0.891666666666667</x:v>
      </x:c>
      <x:c r="H15" s="29">
        <x:v>0.899586206896552</x:v>
      </x:c>
      <x:c r="I15" s="29">
        <x:v>0.891666666666667</x:v>
      </x:c>
      <x:c r="J15" s="28">
        <x:v>4000</x:v>
      </x:c>
      <x:c r="K15" s="28">
        <x:v>32</x:v>
      </x:c>
      <x:c r="L15" s="29">
        <x:v>0.9</x:v>
      </x:c>
      <x:c r="M15" s="28" t="s">
        <x:v>35</x:v>
      </x:c>
      <x:c r="N15" s="29">
        <x:v>0.8</x:v>
      </x:c>
      <x:c r="O15" s="28" t="s">
        <x:v>30</x:v>
      </x:c>
      <x:c r="P15" s="28" t="s">
        <x:v>31</x:v>
      </x:c>
      <x:c r="Q15" s="28" t="s">
        <x:v>37</x:v>
      </x:c>
      <x:c r="R15" s="28" t="s">
        <x:v>33</x:v>
      </x:c>
      <x:c r="S15" s="28">
        <x:v>35</x:v>
      </x:c>
      <x:c r="T15" s="28" t="s">
        <x:v>34</x:v>
      </x:c>
    </x:row>
    <x:row r="16" ht="18" customHeight="1">
      <x:c r="A16" s="28" t="s">
        <x:v>36</x:v>
      </x:c>
      <x:c r="B16" s="28">
        <x:v>4</x:v>
      </x:c>
      <x:c r="C16" s="28">
        <x:v>20260423</x:v>
      </x:c>
      <x:c r="D16" s="28"/>
      <x:c r="E16" s="28" t="s">
        <x:v>28</x:v>
      </x:c>
      <x:c r="F16" s="29">
        <x:v>1</x:v>
      </x:c>
      <x:c r="G16" s="29">
        <x:v>0.9125</x:v>
      </x:c>
      <x:c r="H16" s="29">
        <x:v>0.894896551724138</x:v>
      </x:c>
      <x:c r="I16" s="29">
        <x:v>0.9125</x:v>
      </x:c>
      <x:c r="J16" s="28">
        <x:v>4000</x:v>
      </x:c>
      <x:c r="K16" s="28">
        <x:v>32</x:v>
      </x:c>
      <x:c r="L16" s="29">
        <x:v>0.9</x:v>
      </x:c>
      <x:c r="M16" s="28" t="s">
        <x:v>38</x:v>
      </x:c>
      <x:c r="N16" s="29">
        <x:v>0.7</x:v>
      </x:c>
      <x:c r="O16" s="28" t="s">
        <x:v>30</x:v>
      </x:c>
      <x:c r="P16" s="28" t="s">
        <x:v>31</x:v>
      </x:c>
      <x:c r="Q16" s="28" t="s">
        <x:v>37</x:v>
      </x:c>
      <x:c r="R16" s="28" t="s">
        <x:v>33</x:v>
      </x:c>
      <x:c r="S16" s="28">
        <x:v>36</x:v>
      </x:c>
      <x:c r="T16" s="28" t="s">
        <x:v>34</x:v>
      </x:c>
    </x:row>
    <x:row r="17" ht="18" customHeight="1">
      <x:c r="A17" s="28" t="s">
        <x:v>36</x:v>
      </x:c>
      <x:c r="B17" s="28">
        <x:v>5</x:v>
      </x:c>
      <x:c r="C17" s="28">
        <x:v>20260424</x:v>
      </x:c>
      <x:c r="D17" s="28"/>
      <x:c r="E17" s="28" t="s">
        <x:v>28</x:v>
      </x:c>
      <x:c r="F17" s="29">
        <x:v>1</x:v>
      </x:c>
      <x:c r="G17" s="29">
        <x:v>0.945833333333333</x:v>
      </x:c>
      <x:c r="H17" s="29">
        <x:v>0.894758620689655</x:v>
      </x:c>
      <x:c r="I17" s="29">
        <x:v>0.945833333333333</x:v>
      </x:c>
      <x:c r="J17" s="28">
        <x:v>5000</x:v>
      </x:c>
      <x:c r="K17" s="28">
        <x:v>32</x:v>
      </x:c>
      <x:c r="L17" s="29">
        <x:v>0.9</x:v>
      </x:c>
      <x:c r="M17" s="28" t="s">
        <x:v>35</x:v>
      </x:c>
      <x:c r="N17" s="29">
        <x:v>0.6</x:v>
      </x:c>
      <x:c r="O17" s="28" t="s">
        <x:v>30</x:v>
      </x:c>
      <x:c r="P17" s="28" t="s">
        <x:v>31</x:v>
      </x:c>
      <x:c r="Q17" s="28" t="s">
        <x:v>37</x:v>
      </x:c>
      <x:c r="R17" s="28" t="s">
        <x:v>33</x:v>
      </x:c>
      <x:c r="S17" s="28">
        <x:v>37</x:v>
      </x:c>
      <x:c r="T17" s="28" t="s">
        <x:v>34</x:v>
      </x:c>
    </x:row>
    <x:row r="18" ht="18" customHeight="1">
      <x:c r="A18" s="28" t="s">
        <x:v>36</x:v>
      </x:c>
      <x:c r="B18" s="28">
        <x:v>6</x:v>
      </x:c>
      <x:c r="C18" s="28">
        <x:v>20260425</x:v>
      </x:c>
      <x:c r="D18" s="28"/>
      <x:c r="E18" s="28" t="s">
        <x:v>28</x:v>
      </x:c>
      <x:c r="F18" s="29">
        <x:v>1</x:v>
      </x:c>
      <x:c r="G18" s="29">
        <x:v>0.891666666666667</x:v>
      </x:c>
      <x:c r="H18" s="29">
        <x:v>0.886068965517241</x:v>
      </x:c>
      <x:c r="I18" s="29">
        <x:v>0.891666666666667</x:v>
      </x:c>
      <x:c r="J18" s="28">
        <x:v>4000</x:v>
      </x:c>
      <x:c r="K18" s="28">
        <x:v>32</x:v>
      </x:c>
      <x:c r="L18" s="29">
        <x:v>0.9</x:v>
      </x:c>
      <x:c r="M18" s="28" t="s">
        <x:v>35</x:v>
      </x:c>
      <x:c r="N18" s="29">
        <x:v>0.5</x:v>
      </x:c>
      <x:c r="O18" s="28" t="s">
        <x:v>30</x:v>
      </x:c>
      <x:c r="P18" s="28" t="s">
        <x:v>31</x:v>
      </x:c>
      <x:c r="Q18" s="28" t="s">
        <x:v>37</x:v>
      </x:c>
      <x:c r="R18" s="28" t="s">
        <x:v>33</x:v>
      </x:c>
      <x:c r="S18" s="28">
        <x:v>38</x:v>
      </x:c>
      <x:c r="T18" s="28" t="s">
        <x:v>34</x:v>
      </x:c>
    </x:row>
    <x:row r="19" ht="18" customHeight="1">
      <x:c r="A19" s="28" t="s">
        <x:v>36</x:v>
      </x:c>
      <x:c r="B19" s="28">
        <x:v>7</x:v>
      </x:c>
      <x:c r="C19" s="28">
        <x:v>20260426</x:v>
      </x:c>
      <x:c r="D19" s="28"/>
      <x:c r="E19" s="28" t="s">
        <x:v>28</x:v>
      </x:c>
      <x:c r="F19" s="29">
        <x:v>1</x:v>
      </x:c>
      <x:c r="G19" s="29">
        <x:v>0.933333333333333</x:v>
      </x:c>
      <x:c r="H19" s="29">
        <x:v>0.878068965517241</x:v>
      </x:c>
      <x:c r="I19" s="29">
        <x:v>0.933333333333333</x:v>
      </x:c>
      <x:c r="J19" s="28">
        <x:v>4000</x:v>
      </x:c>
      <x:c r="K19" s="28">
        <x:v>32</x:v>
      </x:c>
      <x:c r="L19" s="29">
        <x:v>0.95</x:v>
      </x:c>
      <x:c r="M19" s="28" t="s">
        <x:v>35</x:v>
      </x:c>
      <x:c r="N19" s="29">
        <x:v>0.3</x:v>
      </x:c>
      <x:c r="O19" s="28" t="s">
        <x:v>30</x:v>
      </x:c>
      <x:c r="P19" s="28" t="s">
        <x:v>31</x:v>
      </x:c>
      <x:c r="Q19" s="28" t="s">
        <x:v>37</x:v>
      </x:c>
      <x:c r="R19" s="28" t="s">
        <x:v>33</x:v>
      </x:c>
      <x:c r="S19" s="28">
        <x:v>39</x:v>
      </x:c>
      <x:c r="T19" s="28" t="s">
        <x:v>34</x:v>
      </x:c>
    </x:row>
    <x:row r="20" ht="18" customHeight="1">
      <x:c r="A20" s="28" t="s">
        <x:v>36</x:v>
      </x:c>
      <x:c r="B20" s="28">
        <x:v>8</x:v>
      </x:c>
      <x:c r="C20" s="28">
        <x:v>20260427</x:v>
      </x:c>
      <x:c r="D20" s="28"/>
      <x:c r="E20" s="28" t="s">
        <x:v>28</x:v>
      </x:c>
      <x:c r="F20" s="29">
        <x:v>1</x:v>
      </x:c>
      <x:c r="G20" s="29">
        <x:v>0.929166666666667</x:v>
      </x:c>
      <x:c r="H20" s="29">
        <x:v>0.905931034482759</x:v>
      </x:c>
      <x:c r="I20" s="29">
        <x:v>0.929166666666667</x:v>
      </x:c>
      <x:c r="J20" s="28">
        <x:v>4000</x:v>
      </x:c>
      <x:c r="K20" s="28">
        <x:v>32</x:v>
      </x:c>
      <x:c r="L20" s="29">
        <x:v>0.9</x:v>
      </x:c>
      <x:c r="M20" s="28" t="s">
        <x:v>35</x:v>
      </x:c>
      <x:c r="N20" s="29">
        <x:v>0.5</x:v>
      </x:c>
      <x:c r="O20" s="28" t="s">
        <x:v>30</x:v>
      </x:c>
      <x:c r="P20" s="28" t="s">
        <x:v>31</x:v>
      </x:c>
      <x:c r="Q20" s="28" t="s">
        <x:v>37</x:v>
      </x:c>
      <x:c r="R20" s="28" t="s">
        <x:v>33</x:v>
      </x:c>
      <x:c r="S20" s="28">
        <x:v>40</x:v>
      </x:c>
      <x:c r="T20" s="28" t="s">
        <x:v>34</x:v>
      </x:c>
    </x:row>
    <x:row r="21" ht="18" customHeight="1">
      <x:c r="A21" s="28" t="s">
        <x:v>36</x:v>
      </x:c>
      <x:c r="B21" s="28">
        <x:v>9</x:v>
      </x:c>
      <x:c r="C21" s="28">
        <x:v>20260428</x:v>
      </x:c>
      <x:c r="D21" s="28"/>
      <x:c r="E21" s="28" t="s">
        <x:v>28</x:v>
      </x:c>
      <x:c r="F21" s="29">
        <x:v>1</x:v>
      </x:c>
      <x:c r="G21" s="29">
        <x:v>0.891666666666667</x:v>
      </x:c>
      <x:c r="H21" s="29">
        <x:v>0.883310344827586</x:v>
      </x:c>
      <x:c r="I21" s="29">
        <x:v>0.891666666666667</x:v>
      </x:c>
      <x:c r="J21" s="28">
        <x:v>5000</x:v>
      </x:c>
      <x:c r="K21" s="28">
        <x:v>32</x:v>
      </x:c>
      <x:c r="L21" s="29">
        <x:v>0.9</x:v>
      </x:c>
      <x:c r="M21" s="28" t="s">
        <x:v>35</x:v>
      </x:c>
      <x:c r="N21" s="29">
        <x:v>0.4</x:v>
      </x:c>
      <x:c r="O21" s="28" t="s">
        <x:v>30</x:v>
      </x:c>
      <x:c r="P21" s="28" t="s">
        <x:v>31</x:v>
      </x:c>
      <x:c r="Q21" s="28" t="s">
        <x:v>37</x:v>
      </x:c>
      <x:c r="R21" s="28" t="s">
        <x:v>33</x:v>
      </x:c>
      <x:c r="S21" s="28">
        <x:v>41</x:v>
      </x:c>
      <x:c r="T21" s="28" t="s">
        <x:v>34</x:v>
      </x:c>
    </x:row>
    <x:row r="22" ht="18" customHeight="1">
      <x:c r="A22" s="28" t="s">
        <x:v>39</x:v>
      </x:c>
      <x:c r="B22" s="28">
        <x:v>0</x:v>
      </x:c>
      <x:c r="C22" s="28">
        <x:v>0</x:v>
      </x:c>
      <x:c r="D22" s="28"/>
      <x:c r="E22" s="28" t="s">
        <x:v>40</x:v>
      </x:c>
      <x:c r="F22" s="29">
        <x:v>0.98992673992674</x:v>
      </x:c>
      <x:c r="G22" s="29">
        <x:v>0.739368998628258</x:v>
      </x:c>
      <x:c r="H22" s="29">
        <x:v>0.725877192982456</x:v>
      </x:c>
      <x:c r="I22" s="29">
        <x:v>0.738820270983192</x:v>
      </x:c>
      <x:c r="J22" s="28">
        <x:v>8000</x:v>
      </x:c>
      <x:c r="K22" s="28">
        <x:v>96</x:v>
      </x:c>
      <x:c r="L22" s="29">
        <x:v>0.95</x:v>
      </x:c>
      <x:c r="M22" s="28" t="s">
        <x:v>35</x:v>
      </x:c>
      <x:c r="N22" s="29">
        <x:v>0.6</x:v>
      </x:c>
      <x:c r="O22" s="28" t="s">
        <x:v>30</x:v>
      </x:c>
      <x:c r="P22" s="28" t="s">
        <x:v>31</x:v>
      </x:c>
      <x:c r="Q22" s="28" t="s">
        <x:v>41</x:v>
      </x:c>
      <x:c r="R22" s="28" t="s">
        <x:v>42</x:v>
      </x:c>
      <x:c r="S22" s="28">
        <x:v>2</x:v>
      </x:c>
      <x:c r="T22" s="28" t="s">
        <x:v>43</x:v>
      </x:c>
    </x:row>
    <x:row r="23" ht="18" customHeight="1">
      <x:c r="A23" s="28" t="s">
        <x:v>39</x:v>
      </x:c>
      <x:c r="B23" s="28">
        <x:v>1</x:v>
      </x:c>
      <x:c r="C23" s="28">
        <x:v>1</x:v>
      </x:c>
      <x:c r="D23" s="28"/>
      <x:c r="E23" s="28" t="s">
        <x:v>44</x:v>
      </x:c>
      <x:c r="F23" s="29">
        <x:v>0.984432234432234</x:v>
      </x:c>
      <x:c r="G23" s="29">
        <x:v>0.705075445816187</x:v>
      </x:c>
      <x:c r="H23" s="29">
        <x:v>0.763157894736842</x:v>
      </x:c>
      <x:c r="I23" s="29">
        <x:v>0.703316679354199</x:v>
      </x:c>
      <x:c r="J23" s="28">
        <x:v>8000</x:v>
      </x:c>
      <x:c r="K23" s="28">
        <x:v>64</x:v>
      </x:c>
      <x:c r="L23" s="29">
        <x:v>0.9</x:v>
      </x:c>
      <x:c r="M23" s="28" t="s">
        <x:v>35</x:v>
      </x:c>
      <x:c r="N23" s="29">
        <x:v>0.6</x:v>
      </x:c>
      <x:c r="O23" s="28" t="s">
        <x:v>30</x:v>
      </x:c>
      <x:c r="P23" s="28" t="s">
        <x:v>31</x:v>
      </x:c>
      <x:c r="Q23" s="28" t="s">
        <x:v>41</x:v>
      </x:c>
      <x:c r="R23" s="28" t="s">
        <x:v>42</x:v>
      </x:c>
      <x:c r="S23" s="28">
        <x:v>3</x:v>
      </x:c>
      <x:c r="T23" s="28" t="s">
        <x:v>43</x:v>
      </x:c>
    </x:row>
    <x:row r="24" ht="18" customHeight="1">
      <x:c r="A24" s="28" t="s">
        <x:v>39</x:v>
      </x:c>
      <x:c r="B24" s="28">
        <x:v>2</x:v>
      </x:c>
      <x:c r="C24" s="28">
        <x:v>2</x:v>
      </x:c>
      <x:c r="D24" s="28"/>
      <x:c r="E24" s="28" t="s">
        <x:v>45</x:v>
      </x:c>
      <x:c r="F24" s="29">
        <x:v>0.991758241758242</x:v>
      </x:c>
      <x:c r="G24" s="29">
        <x:v>0.739368998628258</x:v>
      </x:c>
      <x:c r="H24" s="29">
        <x:v>0.703947368421053</x:v>
      </x:c>
      <x:c r="I24" s="29">
        <x:v>0.747503907942309</x:v>
      </x:c>
      <x:c r="J24" s="28">
        <x:v>8000</x:v>
      </x:c>
      <x:c r="K24" s="28">
        <x:v>96</x:v>
      </x:c>
      <x:c r="L24" s="29">
        <x:v>0.99</x:v>
      </x:c>
      <x:c r="M24" s="28" t="s">
        <x:v>35</x:v>
      </x:c>
      <x:c r="N24" s="29">
        <x:v>0.5</x:v>
      </x:c>
      <x:c r="O24" s="28" t="s">
        <x:v>30</x:v>
      </x:c>
      <x:c r="P24" s="28" t="s">
        <x:v>31</x:v>
      </x:c>
      <x:c r="Q24" s="28" t="s">
        <x:v>41</x:v>
      </x:c>
      <x:c r="R24" s="28" t="s">
        <x:v>42</x:v>
      </x:c>
      <x:c r="S24" s="28">
        <x:v>4</x:v>
      </x:c>
      <x:c r="T24" s="28" t="s">
        <x:v>43</x:v>
      </x:c>
    </x:row>
    <x:row r="25" ht="18" customHeight="1">
      <x:c r="A25" s="28" t="s">
        <x:v>39</x:v>
      </x:c>
      <x:c r="B25" s="28">
        <x:v>3</x:v>
      </x:c>
      <x:c r="C25" s="28">
        <x:v>3</x:v>
      </x:c>
      <x:c r="D25" s="28"/>
      <x:c r="E25" s="28" t="s">
        <x:v>46</x:v>
      </x:c>
      <x:c r="F25" s="29">
        <x:v>0.963369963369963</x:v>
      </x:c>
      <x:c r="G25" s="29">
        <x:v>0.750342935528121</x:v>
      </x:c>
      <x:c r="H25" s="29">
        <x:v>0.710526315789474</x:v>
      </x:c>
      <x:c r="I25" s="29">
        <x:v>0.751133565221641</x:v>
      </x:c>
      <x:c r="J25" s="28">
        <x:v>4000</x:v>
      </x:c>
      <x:c r="K25" s="28">
        <x:v>64</x:v>
      </x:c>
      <x:c r="L25" s="29">
        <x:v>0.95</x:v>
      </x:c>
      <x:c r="M25" s="28" t="s">
        <x:v>35</x:v>
      </x:c>
      <x:c r="N25" s="29">
        <x:v>0.6</x:v>
      </x:c>
      <x:c r="O25" s="28" t="s">
        <x:v>30</x:v>
      </x:c>
      <x:c r="P25" s="28" t="s">
        <x:v>31</x:v>
      </x:c>
      <x:c r="Q25" s="28" t="s">
        <x:v>41</x:v>
      </x:c>
      <x:c r="R25" s="28" t="s">
        <x:v>42</x:v>
      </x:c>
      <x:c r="S25" s="28">
        <x:v>5</x:v>
      </x:c>
      <x:c r="T25" s="28" t="s">
        <x:v>43</x:v>
      </x:c>
    </x:row>
    <x:row r="26" ht="18" customHeight="1">
      <x:c r="A26" s="28" t="s">
        <x:v>39</x:v>
      </x:c>
      <x:c r="B26" s="28">
        <x:v>4</x:v>
      </x:c>
      <x:c r="C26" s="28">
        <x:v>4</x:v>
      </x:c>
      <x:c r="D26" s="28"/>
      <x:c r="E26" s="28" t="s">
        <x:v>47</x:v>
      </x:c>
      <x:c r="F26" s="29">
        <x:v>0.980769230769231</x:v>
      </x:c>
      <x:c r="G26" s="29">
        <x:v>0.751714677640604</x:v>
      </x:c>
      <x:c r="H26" s="29">
        <x:v>0.743421052631579</x:v>
      </x:c>
      <x:c r="I26" s="29">
        <x:v>0.754423071605447</x:v>
      </x:c>
      <x:c r="J26" s="28">
        <x:v>6000</x:v>
      </x:c>
      <x:c r="K26" s="28">
        <x:v>48</x:v>
      </x:c>
      <x:c r="L26" s="29">
        <x:v>0.9</x:v>
      </x:c>
      <x:c r="M26" s="28" t="s">
        <x:v>35</x:v>
      </x:c>
      <x:c r="N26" s="29">
        <x:v>0.5</x:v>
      </x:c>
      <x:c r="O26" s="28" t="s">
        <x:v>30</x:v>
      </x:c>
      <x:c r="P26" s="28" t="s">
        <x:v>31</x:v>
      </x:c>
      <x:c r="Q26" s="28" t="s">
        <x:v>41</x:v>
      </x:c>
      <x:c r="R26" s="28" t="s">
        <x:v>42</x:v>
      </x:c>
      <x:c r="S26" s="28">
        <x:v>6</x:v>
      </x:c>
      <x:c r="T26" s="28" t="s">
        <x:v>43</x:v>
      </x:c>
    </x:row>
    <x:row r="27" ht="18" customHeight="1">
      <x:c r="A27" s="28" t="s">
        <x:v>39</x:v>
      </x:c>
      <x:c r="B27" s="28">
        <x:v>5</x:v>
      </x:c>
      <x:c r="C27" s="28">
        <x:v>5</x:v>
      </x:c>
      <x:c r="D27" s="28"/>
      <x:c r="E27" s="28" t="s">
        <x:v>48</x:v>
      </x:c>
      <x:c r="F27" s="29">
        <x:v>0.945054945054945</x:v>
      </x:c>
      <x:c r="G27" s="29">
        <x:v>0.732510288065844</x:v>
      </x:c>
      <x:c r="H27" s="29">
        <x:v>0.734649122807018</x:v>
      </x:c>
      <x:c r="I27" s="29">
        <x:v>0.733804210544653</x:v>
      </x:c>
      <x:c r="J27" s="28">
        <x:v>5000</x:v>
      </x:c>
      <x:c r="K27" s="28">
        <x:v>64</x:v>
      </x:c>
      <x:c r="L27" s="29">
        <x:v>0.9</x:v>
      </x:c>
      <x:c r="M27" s="28" t="s">
        <x:v>35</x:v>
      </x:c>
      <x:c r="N27" s="29">
        <x:v>0.8</x:v>
      </x:c>
      <x:c r="O27" s="28" t="s">
        <x:v>30</x:v>
      </x:c>
      <x:c r="P27" s="28" t="s">
        <x:v>31</x:v>
      </x:c>
      <x:c r="Q27" s="28" t="s">
        <x:v>41</x:v>
      </x:c>
      <x:c r="R27" s="28" t="s">
        <x:v>42</x:v>
      </x:c>
      <x:c r="S27" s="28">
        <x:v>7</x:v>
      </x:c>
      <x:c r="T27" s="28" t="s">
        <x:v>43</x:v>
      </x:c>
    </x:row>
    <x:row r="28" ht="18" customHeight="1">
      <x:c r="A28" s="28" t="s">
        <x:v>39</x:v>
      </x:c>
      <x:c r="B28" s="28">
        <x:v>6</x:v>
      </x:c>
      <x:c r="C28" s="28">
        <x:v>6</x:v>
      </x:c>
      <x:c r="D28" s="28"/>
      <x:c r="E28" s="28" t="s">
        <x:v>49</x:v>
      </x:c>
      <x:c r="F28" s="29">
        <x:v>0.960622710622711</x:v>
      </x:c>
      <x:c r="G28" s="29">
        <x:v>0.710562414266118</x:v>
      </x:c>
      <x:c r="H28" s="29">
        <x:v>0.706140350877193</x:v>
      </x:c>
      <x:c r="I28" s="29">
        <x:v>0.709207662937387</x:v>
      </x:c>
      <x:c r="J28" s="28">
        <x:v>8000</x:v>
      </x:c>
      <x:c r="K28" s="28">
        <x:v>96</x:v>
      </x:c>
      <x:c r="L28" s="29">
        <x:v>0.95</x:v>
      </x:c>
      <x:c r="M28" s="28" t="s">
        <x:v>38</x:v>
      </x:c>
      <x:c r="N28" s="29">
        <x:v>0.7</x:v>
      </x:c>
      <x:c r="O28" s="28" t="s">
        <x:v>30</x:v>
      </x:c>
      <x:c r="P28" s="28" t="s">
        <x:v>31</x:v>
      </x:c>
      <x:c r="Q28" s="28" t="s">
        <x:v>41</x:v>
      </x:c>
      <x:c r="R28" s="28" t="s">
        <x:v>42</x:v>
      </x:c>
      <x:c r="S28" s="28">
        <x:v>8</x:v>
      </x:c>
      <x:c r="T28" s="28" t="s">
        <x:v>43</x:v>
      </x:c>
    </x:row>
    <x:row r="29" ht="18" customHeight="1">
      <x:c r="A29" s="28" t="s">
        <x:v>39</x:v>
      </x:c>
      <x:c r="B29" s="28">
        <x:v>7</x:v>
      </x:c>
      <x:c r="C29" s="28">
        <x:v>7</x:v>
      </x:c>
      <x:c r="D29" s="28"/>
      <x:c r="E29" s="28" t="s">
        <x:v>50</x:v>
      </x:c>
      <x:c r="F29" s="29">
        <x:v>0.995421245421245</x:v>
      </x:c>
      <x:c r="G29" s="29">
        <x:v>0.679012345679012</x:v>
      </x:c>
      <x:c r="H29" s="29">
        <x:v>0.712719298245614</x:v>
      </x:c>
      <x:c r="I29" s="29">
        <x:v>0.679908578977675</x:v>
      </x:c>
      <x:c r="J29" s="28">
        <x:v>8000</x:v>
      </x:c>
      <x:c r="K29" s="28">
        <x:v>96</x:v>
      </x:c>
      <x:c r="L29" s="29">
        <x:v>0.99</x:v>
      </x:c>
      <x:c r="M29" s="28" t="s">
        <x:v>35</x:v>
      </x:c>
      <x:c r="N29" s="29">
        <x:v>0.6</x:v>
      </x:c>
      <x:c r="O29" s="28" t="s">
        <x:v>30</x:v>
      </x:c>
      <x:c r="P29" s="28" t="s">
        <x:v>31</x:v>
      </x:c>
      <x:c r="Q29" s="28" t="s">
        <x:v>41</x:v>
      </x:c>
      <x:c r="R29" s="28" t="s">
        <x:v>42</x:v>
      </x:c>
      <x:c r="S29" s="28">
        <x:v>9</x:v>
      </x:c>
      <x:c r="T29" s="28" t="s">
        <x:v>43</x:v>
      </x:c>
    </x:row>
    <x:row r="30" ht="18" customHeight="1">
      <x:c r="A30" s="28" t="s">
        <x:v>39</x:v>
      </x:c>
      <x:c r="B30" s="28">
        <x:v>8</x:v>
      </x:c>
      <x:c r="C30" s="28">
        <x:v>8</x:v>
      </x:c>
      <x:c r="D30" s="28"/>
      <x:c r="E30" s="28" t="s">
        <x:v>51</x:v>
      </x:c>
      <x:c r="F30" s="29">
        <x:v>0.987179487179487</x:v>
      </x:c>
      <x:c r="G30" s="29">
        <x:v>0.733882030178326</x:v>
      </x:c>
      <x:c r="H30" s="29">
        <x:v>0.719298245614035</x:v>
      </x:c>
      <x:c r="I30" s="29">
        <x:v>0.734577939555686</x:v>
      </x:c>
      <x:c r="J30" s="28">
        <x:v>8000</x:v>
      </x:c>
      <x:c r="K30" s="28">
        <x:v>64</x:v>
      </x:c>
      <x:c r="L30" s="29">
        <x:v>0.9</x:v>
      </x:c>
      <x:c r="M30" s="28" t="s">
        <x:v>35</x:v>
      </x:c>
      <x:c r="N30" s="29">
        <x:v>0.3</x:v>
      </x:c>
      <x:c r="O30" s="28" t="s">
        <x:v>30</x:v>
      </x:c>
      <x:c r="P30" s="28" t="s">
        <x:v>31</x:v>
      </x:c>
      <x:c r="Q30" s="28" t="s">
        <x:v>41</x:v>
      </x:c>
      <x:c r="R30" s="28" t="s">
        <x:v>42</x:v>
      </x:c>
      <x:c r="S30" s="28">
        <x:v>10</x:v>
      </x:c>
      <x:c r="T30" s="28" t="s">
        <x:v>43</x:v>
      </x:c>
    </x:row>
    <x:row r="31" ht="18" customHeight="1">
      <x:c r="A31" s="28" t="s">
        <x:v>39</x:v>
      </x:c>
      <x:c r="B31" s="28">
        <x:v>9</x:v>
      </x:c>
      <x:c r="C31" s="28">
        <x:v>9</x:v>
      </x:c>
      <x:c r="D31" s="28"/>
      <x:c r="E31" s="28" t="s">
        <x:v>52</x:v>
      </x:c>
      <x:c r="F31" s="29">
        <x:v>0.977106227106227</x:v>
      </x:c>
      <x:c r="G31" s="29">
        <x:v>0.737997256515775</x:v>
      </x:c>
      <x:c r="H31" s="29">
        <x:v>0.728070175438597</x:v>
      </x:c>
      <x:c r="I31" s="29">
        <x:v>0.740091050777255</x:v>
      </x:c>
      <x:c r="J31" s="28">
        <x:v>8000</x:v>
      </x:c>
      <x:c r="K31" s="28">
        <x:v>32</x:v>
      </x:c>
      <x:c r="L31" s="29">
        <x:v>0.9</x:v>
      </x:c>
      <x:c r="M31" s="28" t="s">
        <x:v>35</x:v>
      </x:c>
      <x:c r="N31" s="29">
        <x:v>0.6</x:v>
      </x:c>
      <x:c r="O31" s="28" t="s">
        <x:v>30</x:v>
      </x:c>
      <x:c r="P31" s="28" t="s">
        <x:v>31</x:v>
      </x:c>
      <x:c r="Q31" s="28" t="s">
        <x:v>41</x:v>
      </x:c>
      <x:c r="R31" s="28" t="s">
        <x:v>42</x:v>
      </x:c>
      <x:c r="S31" s="28">
        <x:v>11</x:v>
      </x:c>
      <x:c r="T31" s="28" t="s">
        <x:v>43</x:v>
      </x:c>
    </x:row>
    <x:row r="32" ht="18" customHeight="1">
      <x:c r="A32" s="28" t="s">
        <x:v>53</x:v>
      </x:c>
      <x:c r="B32" s="28">
        <x:v>0</x:v>
      </x:c>
      <x:c r="C32" s="28">
        <x:v>20260419</x:v>
      </x:c>
      <x:c r="D32" s="28"/>
      <x:c r="E32" s="28" t="s">
        <x:v>54</x:v>
      </x:c>
      <x:c r="F32" s="29">
        <x:v>1</x:v>
      </x:c>
      <x:c r="G32" s="29">
        <x:v>0.779661016949153</x:v>
      </x:c>
      <x:c r="H32" s="29">
        <x:v>0.810810810810811</x:v>
      </x:c>
      <x:c r="I32" s="29">
        <x:v>0.583567239212401</x:v>
      </x:c>
      <x:c r="J32" s="28">
        <x:v>4000</x:v>
      </x:c>
      <x:c r="K32" s="28">
        <x:v>32</x:v>
      </x:c>
      <x:c r="L32" s="29">
        <x:v>0.9</x:v>
      </x:c>
      <x:c r="M32" s="28" t="s">
        <x:v>35</x:v>
      </x:c>
      <x:c r="N32" s="29">
        <x:v>0.2</x:v>
      </x:c>
      <x:c r="O32" s="28" t="s">
        <x:v>30</x:v>
      </x:c>
      <x:c r="P32" s="28" t="s">
        <x:v>31</x:v>
      </x:c>
      <x:c r="Q32" s="28" t="s">
        <x:v>37</x:v>
      </x:c>
      <x:c r="R32" s="28" t="s">
        <x:v>33</x:v>
      </x:c>
      <x:c r="S32" s="28">
        <x:v>12</x:v>
      </x:c>
      <x:c r="T32" s="28" t="s">
        <x:v>34</x:v>
      </x:c>
    </x:row>
    <x:row r="33" ht="18" customHeight="1">
      <x:c r="A33" s="28" t="s">
        <x:v>53</x:v>
      </x:c>
      <x:c r="B33" s="28">
        <x:v>1</x:v>
      </x:c>
      <x:c r="C33" s="28">
        <x:v>20260420</x:v>
      </x:c>
      <x:c r="D33" s="28"/>
      <x:c r="E33" s="28" t="s">
        <x:v>54</x:v>
      </x:c>
      <x:c r="F33" s="29">
        <x:v>1</x:v>
      </x:c>
      <x:c r="G33" s="29">
        <x:v>0.796610169491525</x:v>
      </x:c>
      <x:c r="H33" s="29">
        <x:v>0.621621621621622</x:v>
      </x:c>
      <x:c r="I33" s="29">
        <x:v>0.691726015919564</x:v>
      </x:c>
      <x:c r="J33" s="28">
        <x:v>4000</x:v>
      </x:c>
      <x:c r="K33" s="28">
        <x:v>32</x:v>
      </x:c>
      <x:c r="L33" s="29">
        <x:v>0.9</x:v>
      </x:c>
      <x:c r="M33" s="28" t="s">
        <x:v>35</x:v>
      </x:c>
      <x:c r="N33" s="29">
        <x:v>0.2</x:v>
      </x:c>
      <x:c r="O33" s="28" t="s">
        <x:v>30</x:v>
      </x:c>
      <x:c r="P33" s="28" t="s">
        <x:v>31</x:v>
      </x:c>
      <x:c r="Q33" s="28" t="s">
        <x:v>37</x:v>
      </x:c>
      <x:c r="R33" s="28" t="s">
        <x:v>33</x:v>
      </x:c>
      <x:c r="S33" s="28">
        <x:v>13</x:v>
      </x:c>
      <x:c r="T33" s="28" t="s">
        <x:v>34</x:v>
      </x:c>
    </x:row>
    <x:row r="34" ht="18" customHeight="1">
      <x:c r="A34" s="28" t="s">
        <x:v>53</x:v>
      </x:c>
      <x:c r="B34" s="28">
        <x:v>2</x:v>
      </x:c>
      <x:c r="C34" s="28">
        <x:v>20260421</x:v>
      </x:c>
      <x:c r="D34" s="28"/>
      <x:c r="E34" s="28" t="s">
        <x:v>54</x:v>
      </x:c>
      <x:c r="F34" s="29">
        <x:v>1</x:v>
      </x:c>
      <x:c r="G34" s="29">
        <x:v>0.779661016949153</x:v>
      </x:c>
      <x:c r="H34" s="29">
        <x:v>0.810810810810811</x:v>
      </x:c>
      <x:c r="I34" s="29">
        <x:v>0.581336405529954</x:v>
      </x:c>
      <x:c r="J34" s="28">
        <x:v>4000</x:v>
      </x:c>
      <x:c r="K34" s="28">
        <x:v>32</x:v>
      </x:c>
      <x:c r="L34" s="29">
        <x:v>0.9</x:v>
      </x:c>
      <x:c r="M34" s="28" t="s">
        <x:v>29</x:v>
      </x:c>
      <x:c r="N34" s="29">
        <x:v>0.2</x:v>
      </x:c>
      <x:c r="O34" s="28" t="s">
        <x:v>30</x:v>
      </x:c>
      <x:c r="P34" s="28" t="s">
        <x:v>31</x:v>
      </x:c>
      <x:c r="Q34" s="28" t="s">
        <x:v>37</x:v>
      </x:c>
      <x:c r="R34" s="28" t="s">
        <x:v>33</x:v>
      </x:c>
      <x:c r="S34" s="28">
        <x:v>14</x:v>
      </x:c>
      <x:c r="T34" s="28" t="s">
        <x:v>34</x:v>
      </x:c>
    </x:row>
    <x:row r="35" ht="18" customHeight="1">
      <x:c r="A35" s="28" t="s">
        <x:v>53</x:v>
      </x:c>
      <x:c r="B35" s="28">
        <x:v>3</x:v>
      </x:c>
      <x:c r="C35" s="28">
        <x:v>20260422</x:v>
      </x:c>
      <x:c r="D35" s="28"/>
      <x:c r="E35" s="28" t="s">
        <x:v>54</x:v>
      </x:c>
      <x:c r="F35" s="29">
        <x:v>1</x:v>
      </x:c>
      <x:c r="G35" s="29">
        <x:v>0.847457627118644</x:v>
      </x:c>
      <x:c r="H35" s="29">
        <x:v>0.756756756756757</x:v>
      </x:c>
      <x:c r="I35" s="29">
        <x:v>0.613961038961039</x:v>
      </x:c>
      <x:c r="J35" s="28">
        <x:v>4000</x:v>
      </x:c>
      <x:c r="K35" s="28">
        <x:v>32</x:v>
      </x:c>
      <x:c r="L35" s="29">
        <x:v>0.9</x:v>
      </x:c>
      <x:c r="M35" s="28" t="s">
        <x:v>29</x:v>
      </x:c>
      <x:c r="N35" s="29">
        <x:v>0.2</x:v>
      </x:c>
      <x:c r="O35" s="28" t="s">
        <x:v>30</x:v>
      </x:c>
      <x:c r="P35" s="28" t="s">
        <x:v>31</x:v>
      </x:c>
      <x:c r="Q35" s="28" t="s">
        <x:v>37</x:v>
      </x:c>
      <x:c r="R35" s="28" t="s">
        <x:v>33</x:v>
      </x:c>
      <x:c r="S35" s="28">
        <x:v>15</x:v>
      </x:c>
      <x:c r="T35" s="28" t="s">
        <x:v>34</x:v>
      </x:c>
    </x:row>
    <x:row r="36" ht="18" customHeight="1">
      <x:c r="A36" s="28" t="s">
        <x:v>53</x:v>
      </x:c>
      <x:c r="B36" s="28">
        <x:v>4</x:v>
      </x:c>
      <x:c r="C36" s="28">
        <x:v>20260423</x:v>
      </x:c>
      <x:c r="D36" s="28"/>
      <x:c r="E36" s="28" t="s">
        <x:v>54</x:v>
      </x:c>
      <x:c r="F36" s="29">
        <x:v>1</x:v>
      </x:c>
      <x:c r="G36" s="29">
        <x:v>0.796610169491525</x:v>
      </x:c>
      <x:c r="H36" s="29">
        <x:v>0.783783783783784</x:v>
      </x:c>
      <x:c r="I36" s="29">
        <x:v>0.571145789694177</x:v>
      </x:c>
      <x:c r="J36" s="28">
        <x:v>4000</x:v>
      </x:c>
      <x:c r="K36" s="28">
        <x:v>32</x:v>
      </x:c>
      <x:c r="L36" s="29">
        <x:v>0.9</x:v>
      </x:c>
      <x:c r="M36" s="28" t="s">
        <x:v>35</x:v>
      </x:c>
      <x:c r="N36" s="29">
        <x:v>0.2</x:v>
      </x:c>
      <x:c r="O36" s="28" t="s">
        <x:v>30</x:v>
      </x:c>
      <x:c r="P36" s="28" t="s">
        <x:v>31</x:v>
      </x:c>
      <x:c r="Q36" s="28" t="s">
        <x:v>37</x:v>
      </x:c>
      <x:c r="R36" s="28" t="s">
        <x:v>33</x:v>
      </x:c>
      <x:c r="S36" s="28">
        <x:v>16</x:v>
      </x:c>
      <x:c r="T36" s="28" t="s">
        <x:v>34</x:v>
      </x:c>
    </x:row>
    <x:row r="37" ht="18" customHeight="1">
      <x:c r="A37" s="28" t="s">
        <x:v>53</x:v>
      </x:c>
      <x:c r="B37" s="28">
        <x:v>5</x:v>
      </x:c>
      <x:c r="C37" s="28">
        <x:v>20260424</x:v>
      </x:c>
      <x:c r="D37" s="28"/>
      <x:c r="E37" s="28" t="s">
        <x:v>54</x:v>
      </x:c>
      <x:c r="F37" s="29">
        <x:v>1</x:v>
      </x:c>
      <x:c r="G37" s="29">
        <x:v>0.76271186440678</x:v>
      </x:c>
      <x:c r="H37" s="29">
        <x:v>0.837837837837838</x:v>
      </x:c>
      <x:c r="I37" s="29">
        <x:v>0.527963971512359</x:v>
      </x:c>
      <x:c r="J37" s="28">
        <x:v>4000</x:v>
      </x:c>
      <x:c r="K37" s="28">
        <x:v>32</x:v>
      </x:c>
      <x:c r="L37" s="29">
        <x:v>0.9</x:v>
      </x:c>
      <x:c r="M37" s="28" t="s">
        <x:v>35</x:v>
      </x:c>
      <x:c r="N37" s="29">
        <x:v>0.2</x:v>
      </x:c>
      <x:c r="O37" s="28" t="s">
        <x:v>30</x:v>
      </x:c>
      <x:c r="P37" s="28" t="s">
        <x:v>31</x:v>
      </x:c>
      <x:c r="Q37" s="28" t="s">
        <x:v>37</x:v>
      </x:c>
      <x:c r="R37" s="28" t="s">
        <x:v>33</x:v>
      </x:c>
      <x:c r="S37" s="28">
        <x:v>17</x:v>
      </x:c>
      <x:c r="T37" s="28" t="s">
        <x:v>34</x:v>
      </x:c>
    </x:row>
    <x:row r="38" ht="18" customHeight="1">
      <x:c r="A38" s="28" t="s">
        <x:v>53</x:v>
      </x:c>
      <x:c r="B38" s="28">
        <x:v>6</x:v>
      </x:c>
      <x:c r="C38" s="28">
        <x:v>20260425</x:v>
      </x:c>
      <x:c r="D38" s="28"/>
      <x:c r="E38" s="28" t="s">
        <x:v>54</x:v>
      </x:c>
      <x:c r="F38" s="29">
        <x:v>1</x:v>
      </x:c>
      <x:c r="G38" s="29">
        <x:v>0.813559322033898</x:v>
      </x:c>
      <x:c r="H38" s="29">
        <x:v>0.810810810810811</x:v>
      </x:c>
      <x:c r="I38" s="29">
        <x:v>0.664327607875995</x:v>
      </x:c>
      <x:c r="J38" s="28">
        <x:v>6000</x:v>
      </x:c>
      <x:c r="K38" s="28">
        <x:v>32</x:v>
      </x:c>
      <x:c r="L38" s="29">
        <x:v>0.9</x:v>
      </x:c>
      <x:c r="M38" s="28" t="s">
        <x:v>35</x:v>
      </x:c>
      <x:c r="N38" s="29">
        <x:v>0.2</x:v>
      </x:c>
      <x:c r="O38" s="28" t="s">
        <x:v>30</x:v>
      </x:c>
      <x:c r="P38" s="28" t="s">
        <x:v>31</x:v>
      </x:c>
      <x:c r="Q38" s="28" t="s">
        <x:v>37</x:v>
      </x:c>
      <x:c r="R38" s="28" t="s">
        <x:v>33</x:v>
      </x:c>
      <x:c r="S38" s="28">
        <x:v>18</x:v>
      </x:c>
      <x:c r="T38" s="28" t="s">
        <x:v>34</x:v>
      </x:c>
    </x:row>
    <x:row r="39" ht="18" customHeight="1">
      <x:c r="A39" s="28" t="s">
        <x:v>53</x:v>
      </x:c>
      <x:c r="B39" s="28">
        <x:v>7</x:v>
      </x:c>
      <x:c r="C39" s="28">
        <x:v>20260426</x:v>
      </x:c>
      <x:c r="D39" s="28"/>
      <x:c r="E39" s="28" t="s">
        <x:v>54</x:v>
      </x:c>
      <x:c r="F39" s="29">
        <x:v>1</x:v>
      </x:c>
      <x:c r="G39" s="29">
        <x:v>0.779661016949153</x:v>
      </x:c>
      <x:c r="H39" s="29">
        <x:v>0.72972972972973</x:v>
      </x:c>
      <x:c r="I39" s="29">
        <x:v>0.561447423544198</x:v>
      </x:c>
      <x:c r="J39" s="28">
        <x:v>5000</x:v>
      </x:c>
      <x:c r="K39" s="28">
        <x:v>32</x:v>
      </x:c>
      <x:c r="L39" s="29">
        <x:v>0.9</x:v>
      </x:c>
      <x:c r="M39" s="28" t="s">
        <x:v>35</x:v>
      </x:c>
      <x:c r="N39" s="29">
        <x:v>0.2</x:v>
      </x:c>
      <x:c r="O39" s="28" t="s">
        <x:v>30</x:v>
      </x:c>
      <x:c r="P39" s="28" t="s">
        <x:v>31</x:v>
      </x:c>
      <x:c r="Q39" s="28" t="s">
        <x:v>37</x:v>
      </x:c>
      <x:c r="R39" s="28" t="s">
        <x:v>33</x:v>
      </x:c>
      <x:c r="S39" s="28">
        <x:v>19</x:v>
      </x:c>
      <x:c r="T39" s="28" t="s">
        <x:v>34</x:v>
      </x:c>
    </x:row>
    <x:row r="40" ht="18" customHeight="1">
      <x:c r="A40" s="28" t="s">
        <x:v>53</x:v>
      </x:c>
      <x:c r="B40" s="28">
        <x:v>8</x:v>
      </x:c>
      <x:c r="C40" s="28">
        <x:v>20260427</x:v>
      </x:c>
      <x:c r="D40" s="28"/>
      <x:c r="E40" s="28" t="s">
        <x:v>54</x:v>
      </x:c>
      <x:c r="F40" s="29">
        <x:v>1</x:v>
      </x:c>
      <x:c r="G40" s="29">
        <x:v>0.847457627118644</x:v>
      </x:c>
      <x:c r="H40" s="29">
        <x:v>0.72972972972973</x:v>
      </x:c>
      <x:c r="I40" s="29">
        <x:v>0.707509426057813</x:v>
      </x:c>
      <x:c r="J40" s="28">
        <x:v>4000</x:v>
      </x:c>
      <x:c r="K40" s="28">
        <x:v>32</x:v>
      </x:c>
      <x:c r="L40" s="29">
        <x:v>0.9</x:v>
      </x:c>
      <x:c r="M40" s="28" t="s">
        <x:v>35</x:v>
      </x:c>
      <x:c r="N40" s="29">
        <x:v>0.7</x:v>
      </x:c>
      <x:c r="O40" s="28" t="s">
        <x:v>30</x:v>
      </x:c>
      <x:c r="P40" s="28" t="s">
        <x:v>31</x:v>
      </x:c>
      <x:c r="Q40" s="28" t="s">
        <x:v>37</x:v>
      </x:c>
      <x:c r="R40" s="28" t="s">
        <x:v>33</x:v>
      </x:c>
      <x:c r="S40" s="28">
        <x:v>20</x:v>
      </x:c>
      <x:c r="T40" s="28" t="s">
        <x:v>34</x:v>
      </x:c>
    </x:row>
    <x:row r="41" ht="18" customHeight="1">
      <x:c r="A41" s="28" t="s">
        <x:v>53</x:v>
      </x:c>
      <x:c r="B41" s="28">
        <x:v>9</x:v>
      </x:c>
      <x:c r="C41" s="28">
        <x:v>20260428</x:v>
      </x:c>
      <x:c r="D41" s="28"/>
      <x:c r="E41" s="28" t="s">
        <x:v>54</x:v>
      </x:c>
      <x:c r="F41" s="29">
        <x:v>0.988505747126437</x:v>
      </x:c>
      <x:c r="G41" s="29">
        <x:v>0.847457627118644</x:v>
      </x:c>
      <x:c r="H41" s="29">
        <x:v>0.648648648648649</x:v>
      </x:c>
      <x:c r="I41" s="29">
        <x:v>0.610714285714286</x:v>
      </x:c>
      <x:c r="J41" s="28">
        <x:v>4000</x:v>
      </x:c>
      <x:c r="K41" s="28">
        <x:v>32</x:v>
      </x:c>
      <x:c r="L41" s="29">
        <x:v>0.9</x:v>
      </x:c>
      <x:c r="M41" s="28" t="s">
        <x:v>38</x:v>
      </x:c>
      <x:c r="N41" s="29">
        <x:v>0.2</x:v>
      </x:c>
      <x:c r="O41" s="28" t="s">
        <x:v>30</x:v>
      </x:c>
      <x:c r="P41" s="28" t="s">
        <x:v>31</x:v>
      </x:c>
      <x:c r="Q41" s="28" t="s">
        <x:v>37</x:v>
      </x:c>
      <x:c r="R41" s="28" t="s">
        <x:v>33</x:v>
      </x:c>
      <x:c r="S41" s="28">
        <x:v>21</x:v>
      </x:c>
      <x:c r="T41" s="28" t="s">
        <x:v>34</x:v>
      </x:c>
    </x:row>
    <x:row r="42" ht="18" customHeight="1">
      <x:c r="A42" s="28" t="s">
        <x:v>55</x:v>
      </x:c>
      <x:c r="B42" s="28">
        <x:v>0</x:v>
      </x:c>
      <x:c r="C42" s="28">
        <x:v>20260419</x:v>
      </x:c>
      <x:c r="D42" s="28"/>
      <x:c r="E42" s="28" t="s">
        <x:v>54</x:v>
      </x:c>
      <x:c r="F42" s="29">
        <x:v>1</x:v>
      </x:c>
      <x:c r="G42" s="29">
        <x:v>0.862068965517241</x:v>
      </x:c>
      <x:c r="H42" s="29">
        <x:v>0.868421052631579</x:v>
      </x:c>
      <x:c r="I42" s="29">
        <x:v>0.755299539170507</x:v>
      </x:c>
      <x:c r="J42" s="28">
        <x:v>4000</x:v>
      </x:c>
      <x:c r="K42" s="28">
        <x:v>32</x:v>
      </x:c>
      <x:c r="L42" s="29">
        <x:v>0.9</x:v>
      </x:c>
      <x:c r="M42" s="28" t="s">
        <x:v>35</x:v>
      </x:c>
      <x:c r="N42" s="29">
        <x:v>0.2</x:v>
      </x:c>
      <x:c r="O42" s="28" t="s">
        <x:v>30</x:v>
      </x:c>
      <x:c r="P42" s="28" t="s">
        <x:v>31</x:v>
      </x:c>
      <x:c r="Q42" s="28" t="s">
        <x:v>37</x:v>
      </x:c>
      <x:c r="R42" s="28" t="s">
        <x:v>33</x:v>
      </x:c>
      <x:c r="S42" s="28">
        <x:v>2</x:v>
      </x:c>
      <x:c r="T42" s="28" t="s">
        <x:v>34</x:v>
      </x:c>
    </x:row>
    <x:row r="43" ht="18" customHeight="1">
      <x:c r="A43" s="28" t="s">
        <x:v>55</x:v>
      </x:c>
      <x:c r="B43" s="28">
        <x:v>1</x:v>
      </x:c>
      <x:c r="C43" s="28">
        <x:v>20260420</x:v>
      </x:c>
      <x:c r="D43" s="28"/>
      <x:c r="E43" s="28" t="s">
        <x:v>54</x:v>
      </x:c>
      <x:c r="F43" s="29">
        <x:v>1</x:v>
      </x:c>
      <x:c r="G43" s="29">
        <x:v>0.896551724137931</x:v>
      </x:c>
      <x:c r="H43" s="29">
        <x:v>0.894736842105263</x:v>
      </x:c>
      <x:c r="I43" s="29">
        <x:v>0.837173579109063</x:v>
      </x:c>
      <x:c r="J43" s="28">
        <x:v>8000</x:v>
      </x:c>
      <x:c r="K43" s="28">
        <x:v>32</x:v>
      </x:c>
      <x:c r="L43" s="29">
        <x:v>0.9</x:v>
      </x:c>
      <x:c r="M43" s="28" t="s">
        <x:v>35</x:v>
      </x:c>
      <x:c r="N43" s="29">
        <x:v>0.2</x:v>
      </x:c>
      <x:c r="O43" s="28" t="s">
        <x:v>30</x:v>
      </x:c>
      <x:c r="P43" s="28" t="s">
        <x:v>31</x:v>
      </x:c>
      <x:c r="Q43" s="28" t="s">
        <x:v>37</x:v>
      </x:c>
      <x:c r="R43" s="28" t="s">
        <x:v>33</x:v>
      </x:c>
      <x:c r="S43" s="28">
        <x:v>3</x:v>
      </x:c>
      <x:c r="T43" s="28" t="s">
        <x:v>34</x:v>
      </x:c>
    </x:row>
    <x:row r="44" ht="18" customHeight="1">
      <x:c r="A44" s="28" t="s">
        <x:v>55</x:v>
      </x:c>
      <x:c r="B44" s="28">
        <x:v>2</x:v>
      </x:c>
      <x:c r="C44" s="28">
        <x:v>20260421</x:v>
      </x:c>
      <x:c r="D44" s="28"/>
      <x:c r="E44" s="28" t="s">
        <x:v>54</x:v>
      </x:c>
      <x:c r="F44" s="29">
        <x:v>1</x:v>
      </x:c>
      <x:c r="G44" s="29">
        <x:v>0.844827586206897</x:v>
      </x:c>
      <x:c r="H44" s="29">
        <x:v>0.789473684210526</x:v>
      </x:c>
      <x:c r="I44" s="29">
        <x:v>0.74431643625192</x:v>
      </x:c>
      <x:c r="J44" s="28">
        <x:v>5000</x:v>
      </x:c>
      <x:c r="K44" s="28">
        <x:v>32</x:v>
      </x:c>
      <x:c r="L44" s="29">
        <x:v>0.9</x:v>
      </x:c>
      <x:c r="M44" s="28" t="s">
        <x:v>35</x:v>
      </x:c>
      <x:c r="N44" s="29">
        <x:v>0.2</x:v>
      </x:c>
      <x:c r="O44" s="28" t="s">
        <x:v>30</x:v>
      </x:c>
      <x:c r="P44" s="28" t="s">
        <x:v>31</x:v>
      </x:c>
      <x:c r="Q44" s="28" t="s">
        <x:v>37</x:v>
      </x:c>
      <x:c r="R44" s="28" t="s">
        <x:v>33</x:v>
      </x:c>
      <x:c r="S44" s="28">
        <x:v>4</x:v>
      </x:c>
      <x:c r="T44" s="28" t="s">
        <x:v>34</x:v>
      </x:c>
    </x:row>
    <x:row r="45" ht="18" customHeight="1">
      <x:c r="A45" s="28" t="s">
        <x:v>55</x:v>
      </x:c>
      <x:c r="B45" s="28">
        <x:v>3</x:v>
      </x:c>
      <x:c r="C45" s="28">
        <x:v>20260422</x:v>
      </x:c>
      <x:c r="D45" s="28"/>
      <x:c r="E45" s="28" t="s">
        <x:v>54</x:v>
      </x:c>
      <x:c r="F45" s="29">
        <x:v>1</x:v>
      </x:c>
      <x:c r="G45" s="29">
        <x:v>0.913793103448276</x:v>
      </x:c>
      <x:c r="H45" s="29">
        <x:v>0.868421052631579</x:v>
      </x:c>
      <x:c r="I45" s="29">
        <x:v>0.845238095238095</x:v>
      </x:c>
      <x:c r="J45" s="28">
        <x:v>4000</x:v>
      </x:c>
      <x:c r="K45" s="28">
        <x:v>32</x:v>
      </x:c>
      <x:c r="L45" s="29">
        <x:v>0.9</x:v>
      </x:c>
      <x:c r="M45" s="28" t="s">
        <x:v>35</x:v>
      </x:c>
      <x:c r="N45" s="29">
        <x:v>0.2</x:v>
      </x:c>
      <x:c r="O45" s="28" t="s">
        <x:v>30</x:v>
      </x:c>
      <x:c r="P45" s="28" t="s">
        <x:v>31</x:v>
      </x:c>
      <x:c r="Q45" s="28" t="s">
        <x:v>37</x:v>
      </x:c>
      <x:c r="R45" s="28" t="s">
        <x:v>33</x:v>
      </x:c>
      <x:c r="S45" s="28">
        <x:v>5</x:v>
      </x:c>
      <x:c r="T45" s="28" t="s">
        <x:v>34</x:v>
      </x:c>
    </x:row>
    <x:row r="46" ht="18" customHeight="1">
      <x:c r="A46" s="28" t="s">
        <x:v>55</x:v>
      </x:c>
      <x:c r="B46" s="28">
        <x:v>4</x:v>
      </x:c>
      <x:c r="C46" s="28">
        <x:v>20260423</x:v>
      </x:c>
      <x:c r="D46" s="28"/>
      <x:c r="E46" s="28" t="s">
        <x:v>54</x:v>
      </x:c>
      <x:c r="F46" s="29">
        <x:v>1</x:v>
      </x:c>
      <x:c r="G46" s="29">
        <x:v>0.862068965517241</x:v>
      </x:c>
      <x:c r="H46" s="29">
        <x:v>0.842105263157895</x:v>
      </x:c>
      <x:c r="I46" s="29">
        <x:v>0.723809523809524</x:v>
      </x:c>
      <x:c r="J46" s="28">
        <x:v>4000</x:v>
      </x:c>
      <x:c r="K46" s="28">
        <x:v>32</x:v>
      </x:c>
      <x:c r="L46" s="29">
        <x:v>0.9</x:v>
      </x:c>
      <x:c r="M46" s="28" t="s">
        <x:v>35</x:v>
      </x:c>
      <x:c r="N46" s="29">
        <x:v>0.2</x:v>
      </x:c>
      <x:c r="O46" s="28" t="s">
        <x:v>30</x:v>
      </x:c>
      <x:c r="P46" s="28" t="s">
        <x:v>31</x:v>
      </x:c>
      <x:c r="Q46" s="28" t="s">
        <x:v>37</x:v>
      </x:c>
      <x:c r="R46" s="28" t="s">
        <x:v>33</x:v>
      </x:c>
      <x:c r="S46" s="28">
        <x:v>6</x:v>
      </x:c>
      <x:c r="T46" s="28" t="s">
        <x:v>34</x:v>
      </x:c>
    </x:row>
    <x:row r="47" ht="18" customHeight="1">
      <x:c r="A47" s="28" t="s">
        <x:v>55</x:v>
      </x:c>
      <x:c r="B47" s="28">
        <x:v>5</x:v>
      </x:c>
      <x:c r="C47" s="28">
        <x:v>20260424</x:v>
      </x:c>
      <x:c r="D47" s="28"/>
      <x:c r="E47" s="28" t="s">
        <x:v>54</x:v>
      </x:c>
      <x:c r="F47" s="29">
        <x:v>1</x:v>
      </x:c>
      <x:c r="G47" s="29">
        <x:v>0.862068965517241</x:v>
      </x:c>
      <x:c r="H47" s="29">
        <x:v>0.815789473684211</x:v>
      </x:c>
      <x:c r="I47" s="29">
        <x:v>0.751459293394777</x:v>
      </x:c>
      <x:c r="J47" s="28">
        <x:v>4000</x:v>
      </x:c>
      <x:c r="K47" s="28">
        <x:v>32</x:v>
      </x:c>
      <x:c r="L47" s="29">
        <x:v>0.9</x:v>
      </x:c>
      <x:c r="M47" s="28" t="s">
        <x:v>29</x:v>
      </x:c>
      <x:c r="N47" s="29">
        <x:v>0.2</x:v>
      </x:c>
      <x:c r="O47" s="28" t="s">
        <x:v>30</x:v>
      </x:c>
      <x:c r="P47" s="28" t="s">
        <x:v>31</x:v>
      </x:c>
      <x:c r="Q47" s="28" t="s">
        <x:v>37</x:v>
      </x:c>
      <x:c r="R47" s="28" t="s">
        <x:v>33</x:v>
      </x:c>
      <x:c r="S47" s="28">
        <x:v>7</x:v>
      </x:c>
      <x:c r="T47" s="28" t="s">
        <x:v>34</x:v>
      </x:c>
    </x:row>
    <x:row r="48" ht="18" customHeight="1">
      <x:c r="A48" s="28" t="s">
        <x:v>55</x:v>
      </x:c>
      <x:c r="B48" s="28">
        <x:v>6</x:v>
      </x:c>
      <x:c r="C48" s="28">
        <x:v>20260425</x:v>
      </x:c>
      <x:c r="D48" s="28"/>
      <x:c r="E48" s="28" t="s">
        <x:v>54</x:v>
      </x:c>
      <x:c r="F48" s="29">
        <x:v>1</x:v>
      </x:c>
      <x:c r="G48" s="29">
        <x:v>0.862068965517241</x:v>
      </x:c>
      <x:c r="H48" s="29">
        <x:v>0.894736842105263</x:v>
      </x:c>
      <x:c r="I48" s="29">
        <x:v>0.776190476190476</x:v>
      </x:c>
      <x:c r="J48" s="28">
        <x:v>4000</x:v>
      </x:c>
      <x:c r="K48" s="28">
        <x:v>32</x:v>
      </x:c>
      <x:c r="L48" s="29">
        <x:v>0.95</x:v>
      </x:c>
      <x:c r="M48" s="28" t="s">
        <x:v>35</x:v>
      </x:c>
      <x:c r="N48" s="29">
        <x:v>0.6</x:v>
      </x:c>
      <x:c r="O48" s="28" t="s">
        <x:v>30</x:v>
      </x:c>
      <x:c r="P48" s="28" t="s">
        <x:v>31</x:v>
      </x:c>
      <x:c r="Q48" s="28" t="s">
        <x:v>37</x:v>
      </x:c>
      <x:c r="R48" s="28" t="s">
        <x:v>33</x:v>
      </x:c>
      <x:c r="S48" s="28">
        <x:v>8</x:v>
      </x:c>
      <x:c r="T48" s="28" t="s">
        <x:v>34</x:v>
      </x:c>
    </x:row>
    <x:row r="49" ht="18" customHeight="1">
      <x:c r="A49" s="28" t="s">
        <x:v>55</x:v>
      </x:c>
      <x:c r="B49" s="28">
        <x:v>7</x:v>
      </x:c>
      <x:c r="C49" s="28">
        <x:v>20260426</x:v>
      </x:c>
      <x:c r="D49" s="28"/>
      <x:c r="E49" s="28" t="s">
        <x:v>54</x:v>
      </x:c>
      <x:c r="F49" s="29">
        <x:v>1</x:v>
      </x:c>
      <x:c r="G49" s="29">
        <x:v>0.896551724137931</x:v>
      </x:c>
      <x:c r="H49" s="29">
        <x:v>0.842105263157895</x:v>
      </x:c>
      <x:c r="I49" s="29">
        <x:v>0.823809523809524</x:v>
      </x:c>
      <x:c r="J49" s="28">
        <x:v>5000</x:v>
      </x:c>
      <x:c r="K49" s="28">
        <x:v>32</x:v>
      </x:c>
      <x:c r="L49" s="29">
        <x:v>0.9</x:v>
      </x:c>
      <x:c r="M49" s="28" t="s">
        <x:v>35</x:v>
      </x:c>
      <x:c r="N49" s="29">
        <x:v>0.2</x:v>
      </x:c>
      <x:c r="O49" s="28" t="s">
        <x:v>30</x:v>
      </x:c>
      <x:c r="P49" s="28" t="s">
        <x:v>31</x:v>
      </x:c>
      <x:c r="Q49" s="28" t="s">
        <x:v>37</x:v>
      </x:c>
      <x:c r="R49" s="28" t="s">
        <x:v>33</x:v>
      </x:c>
      <x:c r="S49" s="28">
        <x:v>9</x:v>
      </x:c>
      <x:c r="T49" s="28" t="s">
        <x:v>34</x:v>
      </x:c>
    </x:row>
    <x:row r="50" ht="18" customHeight="1">
      <x:c r="A50" s="28" t="s">
        <x:v>55</x:v>
      </x:c>
      <x:c r="B50" s="28">
        <x:v>8</x:v>
      </x:c>
      <x:c r="C50" s="28">
        <x:v>20260427</x:v>
      </x:c>
      <x:c r="D50" s="28"/>
      <x:c r="E50" s="28" t="s">
        <x:v>54</x:v>
      </x:c>
      <x:c r="F50" s="29">
        <x:v>1</x:v>
      </x:c>
      <x:c r="G50" s="29">
        <x:v>0.913793103448276</x:v>
      </x:c>
      <x:c r="H50" s="29">
        <x:v>0.894736842105263</x:v>
      </x:c>
      <x:c r="I50" s="29">
        <x:v>0.826190476190476</x:v>
      </x:c>
      <x:c r="J50" s="28">
        <x:v>4000</x:v>
      </x:c>
      <x:c r="K50" s="28">
        <x:v>32</x:v>
      </x:c>
      <x:c r="L50" s="29">
        <x:v>0.9</x:v>
      </x:c>
      <x:c r="M50" s="28" t="s">
        <x:v>29</x:v>
      </x:c>
      <x:c r="N50" s="29">
        <x:v>0.2</x:v>
      </x:c>
      <x:c r="O50" s="28" t="s">
        <x:v>30</x:v>
      </x:c>
      <x:c r="P50" s="28" t="s">
        <x:v>31</x:v>
      </x:c>
      <x:c r="Q50" s="28" t="s">
        <x:v>37</x:v>
      </x:c>
      <x:c r="R50" s="28" t="s">
        <x:v>33</x:v>
      </x:c>
      <x:c r="S50" s="28">
        <x:v>10</x:v>
      </x:c>
      <x:c r="T50" s="28" t="s">
        <x:v>34</x:v>
      </x:c>
    </x:row>
    <x:row r="51" ht="18" customHeight="1">
      <x:c r="A51" s="28" t="s">
        <x:v>55</x:v>
      </x:c>
      <x:c r="B51" s="28">
        <x:v>9</x:v>
      </x:c>
      <x:c r="C51" s="28">
        <x:v>20260428</x:v>
      </x:c>
      <x:c r="D51" s="28"/>
      <x:c r="E51" s="28" t="s">
        <x:v>54</x:v>
      </x:c>
      <x:c r="F51" s="29">
        <x:v>1</x:v>
      </x:c>
      <x:c r="G51" s="29">
        <x:v>0.862068965517241</x:v>
      </x:c>
      <x:c r="H51" s="29">
        <x:v>0.921052631578947</x:v>
      </x:c>
      <x:c r="I51" s="29">
        <x:v>0.765745007680491</x:v>
      </x:c>
      <x:c r="J51" s="28">
        <x:v>4000</x:v>
      </x:c>
      <x:c r="K51" s="28">
        <x:v>32</x:v>
      </x:c>
      <x:c r="L51" s="29">
        <x:v>0.99</x:v>
      </x:c>
      <x:c r="M51" s="28" t="s">
        <x:v>35</x:v>
      </x:c>
      <x:c r="N51" s="29">
        <x:v>0.2</x:v>
      </x:c>
      <x:c r="O51" s="28" t="s">
        <x:v>30</x:v>
      </x:c>
      <x:c r="P51" s="28" t="s">
        <x:v>31</x:v>
      </x:c>
      <x:c r="Q51" s="28" t="s">
        <x:v>37</x:v>
      </x:c>
      <x:c r="R51" s="28" t="s">
        <x:v>33</x:v>
      </x:c>
      <x:c r="S51" s="28">
        <x:v>11</x:v>
      </x:c>
      <x:c r="T51" s="28" t="s">
        <x:v>34</x:v>
      </x:c>
    </x:row>
    <x:row r="52" ht="18" customHeight="1">
      <x:c r="A52" s="28" t="s">
        <x:v>56</x:v>
      </x:c>
      <x:c r="B52" s="28">
        <x:v>0</x:v>
      </x:c>
      <x:c r="C52" s="28">
        <x:v>20260419</x:v>
      </x:c>
      <x:c r="D52" s="28"/>
      <x:c r="E52" s="28" t="s">
        <x:v>54</x:v>
      </x:c>
      <x:c r="F52" s="29">
        <x:v>1</x:v>
      </x:c>
      <x:c r="G52" s="29">
        <x:v>0.8625</x:v>
      </x:c>
      <x:c r="H52" s="29">
        <x:v>0.901960784313726</x:v>
      </x:c>
      <x:c r="I52" s="29">
        <x:v>0.670836236933798</x:v>
      </x:c>
      <x:c r="J52" s="28">
        <x:v>4000</x:v>
      </x:c>
      <x:c r="K52" s="28">
        <x:v>32</x:v>
      </x:c>
      <x:c r="L52" s="29">
        <x:v>0.9</x:v>
      </x:c>
      <x:c r="M52" s="28" t="s">
        <x:v>29</x:v>
      </x:c>
      <x:c r="N52" s="29">
        <x:v>0.2</x:v>
      </x:c>
      <x:c r="O52" s="28" t="s">
        <x:v>30</x:v>
      </x:c>
      <x:c r="P52" s="28" t="s">
        <x:v>31</x:v>
      </x:c>
      <x:c r="Q52" s="28" t="s">
        <x:v>37</x:v>
      </x:c>
      <x:c r="R52" s="28" t="s">
        <x:v>33</x:v>
      </x:c>
      <x:c r="S52" s="28">
        <x:v>22</x:v>
      </x:c>
      <x:c r="T52" s="28" t="s">
        <x:v>34</x:v>
      </x:c>
    </x:row>
    <x:row r="53" ht="18" customHeight="1">
      <x:c r="A53" s="28" t="s">
        <x:v>56</x:v>
      </x:c>
      <x:c r="B53" s="28">
        <x:v>1</x:v>
      </x:c>
      <x:c r="C53" s="28">
        <x:v>20260420</x:v>
      </x:c>
      <x:c r="D53" s="28"/>
      <x:c r="E53" s="28" t="s">
        <x:v>54</x:v>
      </x:c>
      <x:c r="F53" s="29">
        <x:v>1</x:v>
      </x:c>
      <x:c r="G53" s="29">
        <x:v>0.8625</x:v>
      </x:c>
      <x:c r="H53" s="29">
        <x:v>0.862745098039216</x:v>
      </x:c>
      <x:c r="I53" s="29">
        <x:v>0.682264808362369</x:v>
      </x:c>
      <x:c r="J53" s="28">
        <x:v>4000</x:v>
      </x:c>
      <x:c r="K53" s="28">
        <x:v>32</x:v>
      </x:c>
      <x:c r="L53" s="29">
        <x:v>0.9</x:v>
      </x:c>
      <x:c r="M53" s="28" t="s">
        <x:v>29</x:v>
      </x:c>
      <x:c r="N53" s="29">
        <x:v>0.2</x:v>
      </x:c>
      <x:c r="O53" s="28" t="s">
        <x:v>30</x:v>
      </x:c>
      <x:c r="P53" s="28" t="s">
        <x:v>31</x:v>
      </x:c>
      <x:c r="Q53" s="28" t="s">
        <x:v>37</x:v>
      </x:c>
      <x:c r="R53" s="28" t="s">
        <x:v>33</x:v>
      </x:c>
      <x:c r="S53" s="28">
        <x:v>23</x:v>
      </x:c>
      <x:c r="T53" s="28" t="s">
        <x:v>34</x:v>
      </x:c>
    </x:row>
    <x:row r="54" ht="18" customHeight="1">
      <x:c r="A54" s="28" t="s">
        <x:v>56</x:v>
      </x:c>
      <x:c r="B54" s="28">
        <x:v>2</x:v>
      </x:c>
      <x:c r="C54" s="28">
        <x:v>20260421</x:v>
      </x:c>
      <x:c r="D54" s="28"/>
      <x:c r="E54" s="28" t="s">
        <x:v>54</x:v>
      </x:c>
      <x:c r="F54" s="29">
        <x:v>1</x:v>
      </x:c>
      <x:c r="G54" s="29">
        <x:v>0.8625</x:v>
      </x:c>
      <x:c r="H54" s="29">
        <x:v>0.843137254901961</x:v>
      </x:c>
      <x:c r="I54" s="29">
        <x:v>0.682264808362369</x:v>
      </x:c>
      <x:c r="J54" s="28">
        <x:v>5000</x:v>
      </x:c>
      <x:c r="K54" s="28">
        <x:v>32</x:v>
      </x:c>
      <x:c r="L54" s="29">
        <x:v>0.95</x:v>
      </x:c>
      <x:c r="M54" s="28" t="s">
        <x:v>29</x:v>
      </x:c>
      <x:c r="N54" s="29">
        <x:v>0.4</x:v>
      </x:c>
      <x:c r="O54" s="28" t="s">
        <x:v>30</x:v>
      </x:c>
      <x:c r="P54" s="28" t="s">
        <x:v>31</x:v>
      </x:c>
      <x:c r="Q54" s="28" t="s">
        <x:v>37</x:v>
      </x:c>
      <x:c r="R54" s="28" t="s">
        <x:v>33</x:v>
      </x:c>
      <x:c r="S54" s="28">
        <x:v>24</x:v>
      </x:c>
      <x:c r="T54" s="28" t="s">
        <x:v>34</x:v>
      </x:c>
    </x:row>
    <x:row r="55" ht="18" customHeight="1">
      <x:c r="A55" s="28" t="s">
        <x:v>56</x:v>
      </x:c>
      <x:c r="B55" s="28">
        <x:v>3</x:v>
      </x:c>
      <x:c r="C55" s="28">
        <x:v>20260422</x:v>
      </x:c>
      <x:c r="D55" s="28"/>
      <x:c r="E55" s="28" t="s">
        <x:v>54</x:v>
      </x:c>
      <x:c r="F55" s="29">
        <x:v>1</x:v>
      </x:c>
      <x:c r="G55" s="29">
        <x:v>0.8625</x:v>
      </x:c>
      <x:c r="H55" s="29">
        <x:v>0.862745098039216</x:v>
      </x:c>
      <x:c r="I55" s="29">
        <x:v>0.670836236933798</x:v>
      </x:c>
      <x:c r="J55" s="28">
        <x:v>4000</x:v>
      </x:c>
      <x:c r="K55" s="28">
        <x:v>32</x:v>
      </x:c>
      <x:c r="L55" s="29">
        <x:v>0.9</x:v>
      </x:c>
      <x:c r="M55" s="28" t="s">
        <x:v>38</x:v>
      </x:c>
      <x:c r="N55" s="29">
        <x:v>0.6</x:v>
      </x:c>
      <x:c r="O55" s="28" t="s">
        <x:v>30</x:v>
      </x:c>
      <x:c r="P55" s="28" t="s">
        <x:v>31</x:v>
      </x:c>
      <x:c r="Q55" s="28" t="s">
        <x:v>37</x:v>
      </x:c>
      <x:c r="R55" s="28" t="s">
        <x:v>33</x:v>
      </x:c>
      <x:c r="S55" s="28">
        <x:v>25</x:v>
      </x:c>
      <x:c r="T55" s="28" t="s">
        <x:v>34</x:v>
      </x:c>
    </x:row>
    <x:row r="56" ht="18" customHeight="1">
      <x:c r="A56" s="28" t="s">
        <x:v>56</x:v>
      </x:c>
      <x:c r="B56" s="28">
        <x:v>4</x:v>
      </x:c>
      <x:c r="C56" s="28">
        <x:v>20260423</x:v>
      </x:c>
      <x:c r="D56" s="28"/>
      <x:c r="E56" s="28" t="s">
        <x:v>54</x:v>
      </x:c>
      <x:c r="F56" s="29">
        <x:v>1</x:v>
      </x:c>
      <x:c r="G56" s="29">
        <x:v>0.875</x:v>
      </x:c>
      <x:c r="H56" s="29">
        <x:v>0.882352941176471</x:v>
      </x:c>
      <x:c r="I56" s="29">
        <x:v>0.692264808362369</x:v>
      </x:c>
      <x:c r="J56" s="28">
        <x:v>5000</x:v>
      </x:c>
      <x:c r="K56" s="28">
        <x:v>32</x:v>
      </x:c>
      <x:c r="L56" s="29">
        <x:v>0.9</x:v>
      </x:c>
      <x:c r="M56" s="28" t="s">
        <x:v>35</x:v>
      </x:c>
      <x:c r="N56" s="29">
        <x:v>0.2</x:v>
      </x:c>
      <x:c r="O56" s="28" t="s">
        <x:v>30</x:v>
      </x:c>
      <x:c r="P56" s="28" t="s">
        <x:v>31</x:v>
      </x:c>
      <x:c r="Q56" s="28" t="s">
        <x:v>37</x:v>
      </x:c>
      <x:c r="R56" s="28" t="s">
        <x:v>33</x:v>
      </x:c>
      <x:c r="S56" s="28">
        <x:v>26</x:v>
      </x:c>
      <x:c r="T56" s="28" t="s">
        <x:v>34</x:v>
      </x:c>
    </x:row>
    <x:row r="57" ht="18" customHeight="1">
      <x:c r="A57" s="28" t="s">
        <x:v>56</x:v>
      </x:c>
      <x:c r="B57" s="28">
        <x:v>5</x:v>
      </x:c>
      <x:c r="C57" s="28">
        <x:v>20260424</x:v>
      </x:c>
      <x:c r="D57" s="28"/>
      <x:c r="E57" s="28" t="s">
        <x:v>54</x:v>
      </x:c>
      <x:c r="F57" s="29">
        <x:v>1</x:v>
      </x:c>
      <x:c r="G57" s="29">
        <x:v>0.85</x:v>
      </x:c>
      <x:c r="H57" s="29">
        <x:v>0.862745098039216</x:v>
      </x:c>
      <x:c r="I57" s="29">
        <x:v>0.635121951219512</x:v>
      </x:c>
      <x:c r="J57" s="28">
        <x:v>6000</x:v>
      </x:c>
      <x:c r="K57" s="28">
        <x:v>32</x:v>
      </x:c>
      <x:c r="L57" s="29">
        <x:v>0.9</x:v>
      </x:c>
      <x:c r="M57" s="28" t="s">
        <x:v>35</x:v>
      </x:c>
      <x:c r="N57" s="29">
        <x:v>0.2</x:v>
      </x:c>
      <x:c r="O57" s="28" t="s">
        <x:v>30</x:v>
      </x:c>
      <x:c r="P57" s="28" t="s">
        <x:v>31</x:v>
      </x:c>
      <x:c r="Q57" s="28" t="s">
        <x:v>37</x:v>
      </x:c>
      <x:c r="R57" s="28" t="s">
        <x:v>33</x:v>
      </x:c>
      <x:c r="S57" s="28">
        <x:v>27</x:v>
      </x:c>
      <x:c r="T57" s="28" t="s">
        <x:v>34</x:v>
      </x:c>
    </x:row>
    <x:row r="58" ht="18" customHeight="1">
      <x:c r="A58" s="28" t="s">
        <x:v>56</x:v>
      </x:c>
      <x:c r="B58" s="28">
        <x:v>6</x:v>
      </x:c>
      <x:c r="C58" s="28">
        <x:v>20260425</x:v>
      </x:c>
      <x:c r="D58" s="28"/>
      <x:c r="E58" s="28" t="s">
        <x:v>54</x:v>
      </x:c>
      <x:c r="F58" s="29">
        <x:v>1</x:v>
      </x:c>
      <x:c r="G58" s="29">
        <x:v>0.825</x:v>
      </x:c>
      <x:c r="H58" s="29">
        <x:v>0.843137254901961</x:v>
      </x:c>
      <x:c r="I58" s="29">
        <x:v>0.650243902439024</x:v>
      </x:c>
      <x:c r="J58" s="28">
        <x:v>4000</x:v>
      </x:c>
      <x:c r="K58" s="28">
        <x:v>32</x:v>
      </x:c>
      <x:c r="L58" s="29">
        <x:v>0.9</x:v>
      </x:c>
      <x:c r="M58" s="28" t="s">
        <x:v>29</x:v>
      </x:c>
      <x:c r="N58" s="29">
        <x:v>0.2</x:v>
      </x:c>
      <x:c r="O58" s="28" t="s">
        <x:v>30</x:v>
      </x:c>
      <x:c r="P58" s="28" t="s">
        <x:v>31</x:v>
      </x:c>
      <x:c r="Q58" s="28" t="s">
        <x:v>37</x:v>
      </x:c>
      <x:c r="R58" s="28" t="s">
        <x:v>33</x:v>
      </x:c>
      <x:c r="S58" s="28">
        <x:v>28</x:v>
      </x:c>
      <x:c r="T58" s="28" t="s">
        <x:v>34</x:v>
      </x:c>
    </x:row>
    <x:row r="59" ht="18" customHeight="1">
      <x:c r="A59" s="28" t="s">
        <x:v>56</x:v>
      </x:c>
      <x:c r="B59" s="28">
        <x:v>7</x:v>
      </x:c>
      <x:c r="C59" s="28">
        <x:v>20260426</x:v>
      </x:c>
      <x:c r="D59" s="28"/>
      <x:c r="E59" s="28" t="s">
        <x:v>54</x:v>
      </x:c>
      <x:c r="F59" s="29">
        <x:v>1</x:v>
      </x:c>
      <x:c r="G59" s="29">
        <x:v>0.8375</x:v>
      </x:c>
      <x:c r="H59" s="29">
        <x:v>0.784313725490196</x:v>
      </x:c>
      <x:c r="I59" s="29">
        <x:v>0.684773519163763</x:v>
      </x:c>
      <x:c r="J59" s="28">
        <x:v>4000</x:v>
      </x:c>
      <x:c r="K59" s="28">
        <x:v>32</x:v>
      </x:c>
      <x:c r="L59" s="29">
        <x:v>0.9</x:v>
      </x:c>
      <x:c r="M59" s="28" t="s">
        <x:v>35</x:v>
      </x:c>
      <x:c r="N59" s="29">
        <x:v>0.2</x:v>
      </x:c>
      <x:c r="O59" s="28" t="s">
        <x:v>30</x:v>
      </x:c>
      <x:c r="P59" s="28" t="s">
        <x:v>31</x:v>
      </x:c>
      <x:c r="Q59" s="28" t="s">
        <x:v>37</x:v>
      </x:c>
      <x:c r="R59" s="28" t="s">
        <x:v>33</x:v>
      </x:c>
      <x:c r="S59" s="28">
        <x:v>29</x:v>
      </x:c>
      <x:c r="T59" s="28" t="s">
        <x:v>34</x:v>
      </x:c>
    </x:row>
    <x:row r="60" ht="18" customHeight="1">
      <x:c r="A60" s="28" t="s">
        <x:v>56</x:v>
      </x:c>
      <x:c r="B60" s="28">
        <x:v>8</x:v>
      </x:c>
      <x:c r="C60" s="28">
        <x:v>20260427</x:v>
      </x:c>
      <x:c r="D60" s="28"/>
      <x:c r="E60" s="28" t="s">
        <x:v>54</x:v>
      </x:c>
      <x:c r="F60" s="29">
        <x:v>1</x:v>
      </x:c>
      <x:c r="G60" s="29">
        <x:v>0.85</x:v>
      </x:c>
      <x:c r="H60" s="29">
        <x:v>0.823529411764706</x:v>
      </x:c>
      <x:c r="I60" s="29">
        <x:v>0.6</x:v>
      </x:c>
      <x:c r="J60" s="28">
        <x:v>4000</x:v>
      </x:c>
      <x:c r="K60" s="28">
        <x:v>32</x:v>
      </x:c>
      <x:c r="L60" s="29">
        <x:v>0.9</x:v>
      </x:c>
      <x:c r="M60" s="28" t="s">
        <x:v>35</x:v>
      </x:c>
      <x:c r="N60" s="29">
        <x:v>0.2</x:v>
      </x:c>
      <x:c r="O60" s="28" t="s">
        <x:v>30</x:v>
      </x:c>
      <x:c r="P60" s="28" t="s">
        <x:v>31</x:v>
      </x:c>
      <x:c r="Q60" s="28" t="s">
        <x:v>37</x:v>
      </x:c>
      <x:c r="R60" s="28" t="s">
        <x:v>33</x:v>
      </x:c>
      <x:c r="S60" s="28">
        <x:v>30</x:v>
      </x:c>
      <x:c r="T60" s="28" t="s">
        <x:v>34</x:v>
      </x:c>
    </x:row>
    <x:row r="61" ht="18" customHeight="1">
      <x:c r="A61" s="28" t="s">
        <x:v>56</x:v>
      </x:c>
      <x:c r="B61" s="28">
        <x:v>9</x:v>
      </x:c>
      <x:c r="C61" s="28">
        <x:v>20260428</x:v>
      </x:c>
      <x:c r="D61" s="28"/>
      <x:c r="E61" s="28" t="s">
        <x:v>54</x:v>
      </x:c>
      <x:c r="F61" s="29">
        <x:v>1</x:v>
      </x:c>
      <x:c r="G61" s="29">
        <x:v>0.8375</x:v>
      </x:c>
      <x:c r="H61" s="29">
        <x:v>0.764705882352941</x:v>
      </x:c>
      <x:c r="I61" s="29">
        <x:v>0.595121951219512</x:v>
      </x:c>
      <x:c r="J61" s="28">
        <x:v>5000</x:v>
      </x:c>
      <x:c r="K61" s="28">
        <x:v>32</x:v>
      </x:c>
      <x:c r="L61" s="29">
        <x:v>0.9</x:v>
      </x:c>
      <x:c r="M61" s="28" t="s">
        <x:v>29</x:v>
      </x:c>
      <x:c r="N61" s="29">
        <x:v>0.7</x:v>
      </x:c>
      <x:c r="O61" s="28" t="s">
        <x:v>30</x:v>
      </x:c>
      <x:c r="P61" s="28" t="s">
        <x:v>31</x:v>
      </x:c>
      <x:c r="Q61" s="28" t="s">
        <x:v>37</x:v>
      </x:c>
      <x:c r="R61" s="28" t="s">
        <x:v>33</x:v>
      </x:c>
      <x:c r="S61" s="28">
        <x:v>31</x:v>
      </x:c>
      <x:c r="T61" s="28" t="s">
        <x:v>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5" width="12" customWidth="1"/>
    <x:col min="6" max="6" width="15" customWidth="1"/>
    <x:col min="7" max="7" width="13" customWidth="1"/>
    <x:col min="8" max="8" width="14" customWidth="1"/>
    <x:col min="9" max="11" width="12" customWidth="1"/>
    <x:col min="12" max="12" width="16" customWidth="1"/>
    <x:col min="13" max="15" width="13" customWidth="1"/>
    <x:col min="16" max="16" width="14" customWidth="1"/>
  </x:cols>
  <x:sheetData>
    <x:row r="1" ht="18" customHeight="1">
      <x:c r="A1" s="27" t="s">
        <x:v>7</x:v>
      </x:c>
      <x:c r="B1" s="27" t="s">
        <x:v>57</x:v>
      </x:c>
      <x:c r="C1" s="27" t="s">
        <x:v>8</x:v>
      </x:c>
      <x:c r="D1" s="27" t="s">
        <x:v>10</x:v>
      </x:c>
      <x:c r="E1" s="27" t="s">
        <x:v>9</x:v>
      </x:c>
      <x:c r="F1" s="27" t="s">
        <x:v>12</x:v>
      </x:c>
      <x:c r="G1" s="27" t="s">
        <x:v>13</x:v>
      </x:c>
      <x:c r="H1" s="27" t="s">
        <x:v>14</x:v>
      </x:c>
      <x:c r="I1" s="27" t="s">
        <x:v>58</x:v>
      </x:c>
      <x:c r="J1" s="27" t="s">
        <x:v>59</x:v>
      </x:c>
      <x:c r="K1" s="27" t="s">
        <x:v>60</x:v>
      </x:c>
      <x:c r="L1" s="27" t="s">
        <x:v>22</x:v>
      </x:c>
      <x:c r="M1" s="27" t="s">
        <x:v>24</x:v>
      </x:c>
      <x:c r="N1" s="27" t="s">
        <x:v>25</x:v>
      </x:c>
      <x:c r="O1" s="27" t="s">
        <x:v>26</x:v>
      </x:c>
      <x:c r="P1" s="27" t="s">
        <x:v>11</x:v>
      </x:c>
    </x:row>
    <x:row r="2" ht="18" customHeight="1">
      <x:c r="A2" s="28" t="str">
        <x:v>amazon-computers</x:v>
      </x:c>
      <x:c r="B2" s="28" t="str">
        <x:v>graphsage</x:v>
      </x:c>
      <x:c r="C2" s="28" t="n">
        <x:v>0</x:v>
      </x:c>
      <x:c r="D2" s="28" t="n">
        <x:v>0</x:v>
      </x:c>
      <x:c r="E2" s="28" t="n">
        <x:v>20260419</x:v>
      </x:c>
      <x:c r="F2" s="29" t="n">
        <x:v>0.9800000190734864</x:v>
      </x:c>
      <x:c r="G2" s="29" t="n">
        <x:v>0.846666693687439</x:v>
      </x:c>
      <x:c r="H2" s="29" t="n">
        <x:v>0.7558104395866394</x:v>
      </x:c>
      <x:c r="I2" s="28" t="n">
        <x:v>160</x:v>
      </x:c>
      <x:c r="J2" s="29" t="n">
        <x:v>204.718</x:v>
      </x:c>
      <x:c r="K2" s="28" t="n">
        <x:v>99530</x:v>
      </x:c>
      <x:c r="L2" s="28" t="str">
        <x:v>strongest_method_for_dataset_then_grid_selected_by_val_only_no_test</x:v>
      </x:c>
      <x:c r="M2" s="28" t="str">
        <x:v>strongest_baseline_repeats_merged.csv</x:v>
      </x:c>
      <x:c r="N2" s="28" t="n">
        <x:v>2</x:v>
      </x:c>
      <x:c r="O2" s="28" t="str">
        <x:v>strong_baseline_results_cpu/strongest_baseline_repeats_merged.csv</x:v>
      </x:c>
      <x:c r="P2" s="28" t="str">
        <x:v>class_balanced_random_20_train_30_val_per_class</x:v>
      </x:c>
    </x:row>
    <x:row r="3" ht="18" customHeight="1">
      <x:c r="A3" s="28" t="str">
        <x:v>amazon-computers</x:v>
      </x:c>
      <x:c r="B3" s="28" t="str">
        <x:v>graphsage</x:v>
      </x:c>
      <x:c r="C3" s="28" t="n">
        <x:v>1</x:v>
      </x:c>
      <x:c r="D3" s="28" t="n">
        <x:v>0</x:v>
      </x:c>
      <x:c r="E3" s="28" t="n">
        <x:v>20260420</x:v>
      </x:c>
      <x:c r="F3" s="29" t="n">
        <x:v>0.9549999833106996</x:v>
      </x:c>
      <x:c r="G3" s="29" t="n">
        <x:v>0.8666666746139526</x:v>
      </x:c>
      <x:c r="H3" s="29" t="n">
        <x:v>0.7624509334564209</x:v>
      </x:c>
      <x:c r="I3" s="28" t="n">
        <x:v>120</x:v>
      </x:c>
      <x:c r="J3" s="29" t="n">
        <x:v>180.798</x:v>
      </x:c>
      <x:c r="K3" s="28" t="n">
        <x:v>99530</x:v>
      </x:c>
      <x:c r="L3" s="28" t="str">
        <x:v>strongest_method_for_dataset_then_grid_selected_by_val_only_no_test</x:v>
      </x:c>
      <x:c r="M3" s="28" t="str">
        <x:v>strongest_baseline_repeats_merged.csv</x:v>
      </x:c>
      <x:c r="N3" s="28" t="n">
        <x:v>3</x:v>
      </x:c>
      <x:c r="O3" s="28" t="str">
        <x:v>strong_baseline_results_cpu/strongest_baseline_repeats_merged.csv</x:v>
      </x:c>
      <x:c r="P3" s="28" t="str">
        <x:v>class_balanced_random_20_train_30_val_per_class</x:v>
      </x:c>
    </x:row>
    <x:row r="4" ht="18" customHeight="1">
      <x:c r="A4" s="28" t="str">
        <x:v>amazon-computers</x:v>
      </x:c>
      <x:c r="B4" s="28" t="str">
        <x:v>graphsage</x:v>
      </x:c>
      <x:c r="C4" s="28" t="n">
        <x:v>2</x:v>
      </x:c>
      <x:c r="D4" s="28" t="n">
        <x:v>0</x:v>
      </x:c>
      <x:c r="E4" s="28" t="n">
        <x:v>20260421</x:v>
      </x:c>
      <x:c r="F4" s="29" t="n">
        <x:v>0.9100000262260436</x:v>
      </x:c>
      <x:c r="G4" s="29" t="n">
        <x:v>0.8266666531562805</x:v>
      </x:c>
      <x:c r="H4" s="29" t="n">
        <x:v>0.7734681367874146</x:v>
      </x:c>
      <x:c r="I4" s="28" t="n">
        <x:v>65</x:v>
      </x:c>
      <x:c r="J4" s="29" t="n">
        <x:v>123.395</x:v>
      </x:c>
      <x:c r="K4" s="28" t="n">
        <x:v>99530</x:v>
      </x:c>
      <x:c r="L4" s="28" t="str">
        <x:v>strongest_method_for_dataset_then_grid_selected_by_val_only_no_test</x:v>
      </x:c>
      <x:c r="M4" s="28" t="str">
        <x:v>strongest_baseline_repeats_merged.csv</x:v>
      </x:c>
      <x:c r="N4" s="28" t="n">
        <x:v>4</x:v>
      </x:c>
      <x:c r="O4" s="28" t="str">
        <x:v>strong_baseline_results_cpu/strongest_baseline_repeats_merged.csv</x:v>
      </x:c>
      <x:c r="P4" s="28" t="str">
        <x:v>class_balanced_random_20_train_30_val_per_class</x:v>
      </x:c>
    </x:row>
    <x:row r="5" ht="18" customHeight="1">
      <x:c r="A5" s="28" t="str">
        <x:v>amazon-computers</x:v>
      </x:c>
      <x:c r="B5" s="28" t="str">
        <x:v>graphsage</x:v>
      </x:c>
      <x:c r="C5" s="28" t="n">
        <x:v>3</x:v>
      </x:c>
      <x:c r="D5" s="28" t="n">
        <x:v>0</x:v>
      </x:c>
      <x:c r="E5" s="28" t="n">
        <x:v>20260422</x:v>
      </x:c>
      <x:c r="F5" s="29" t="n">
        <x:v>0.9399999976158142</x:v>
      </x:c>
      <x:c r="G5" s="29" t="n">
        <x:v>0.8899999856948853</x:v>
      </x:c>
      <x:c r="H5" s="29" t="n">
        <x:v>0.7857682108879089</x:v>
      </x:c>
      <x:c r="I5" s="28" t="n">
        <x:v>165</x:v>
      </x:c>
      <x:c r="J5" s="29" t="n">
        <x:v>226.786</x:v>
      </x:c>
      <x:c r="K5" s="28" t="n">
        <x:v>99530</x:v>
      </x:c>
      <x:c r="L5" s="28" t="str">
        <x:v>strongest_method_for_dataset_then_grid_selected_by_val_only_no_test</x:v>
      </x:c>
      <x:c r="M5" s="28" t="str">
        <x:v>strongest_baseline_repeats_merged.csv</x:v>
      </x:c>
      <x:c r="N5" s="28" t="n">
        <x:v>5</x:v>
      </x:c>
      <x:c r="O5" s="28" t="str">
        <x:v>strong_baseline_results_cpu/strongest_baseline_repeats_merged.csv</x:v>
      </x:c>
      <x:c r="P5" s="28" t="str">
        <x:v>class_balanced_random_20_train_30_val_per_class</x:v>
      </x:c>
    </x:row>
    <x:row r="6" ht="18" customHeight="1">
      <x:c r="A6" s="28" t="str">
        <x:v>amazon-computers</x:v>
      </x:c>
      <x:c r="B6" s="28" t="str">
        <x:v>graphsage</x:v>
      </x:c>
      <x:c r="C6" s="28" t="n">
        <x:v>4</x:v>
      </x:c>
      <x:c r="D6" s="28" t="n">
        <x:v>0</x:v>
      </x:c>
      <x:c r="E6" s="28" t="n">
        <x:v>20260423</x:v>
      </x:c>
      <x:c r="F6" s="29" t="n">
        <x:v>0.9800000190734864</x:v>
      </x:c>
      <x:c r="G6" s="29" t="n">
        <x:v>0.8700000047683716</x:v>
      </x:c>
      <x:c r="H6" s="29" t="n">
        <x:v>0.7147600650787354</x:v>
      </x:c>
      <x:c r="I6" s="28" t="n">
        <x:v>170</x:v>
      </x:c>
      <x:c r="J6" s="29" t="n">
        <x:v>242.592</x:v>
      </x:c>
      <x:c r="K6" s="28" t="n">
        <x:v>99530</x:v>
      </x:c>
      <x:c r="L6" s="28" t="str">
        <x:v>strongest_method_for_dataset_then_grid_selected_by_val_only_no_test</x:v>
      </x:c>
      <x:c r="M6" s="28" t="str">
        <x:v>strongest_baseline_repeats_merged.csv</x:v>
      </x:c>
      <x:c r="N6" s="28" t="n">
        <x:v>6</x:v>
      </x:c>
      <x:c r="O6" s="28" t="str">
        <x:v>strong_baseline_results_cpu/strongest_baseline_repeats_merged.csv</x:v>
      </x:c>
      <x:c r="P6" s="28" t="str">
        <x:v>class_balanced_random_20_train_30_val_per_class</x:v>
      </x:c>
    </x:row>
    <x:row r="7" ht="18" customHeight="1">
      <x:c r="A7" s="28" t="str">
        <x:v>amazon-computers</x:v>
      </x:c>
      <x:c r="B7" s="28" t="str">
        <x:v>graphsage</x:v>
      </x:c>
      <x:c r="C7" s="28" t="n">
        <x:v>5</x:v>
      </x:c>
      <x:c r="D7" s="28" t="n">
        <x:v>0</x:v>
      </x:c>
      <x:c r="E7" s="28" t="n">
        <x:v>20260424</x:v>
      </x:c>
      <x:c r="F7" s="29" t="n">
        <x:v>0.9800000190734864</x:v>
      </x:c>
      <x:c r="G7" s="29" t="n">
        <x:v>0.8666666746139526</x:v>
      </x:c>
      <x:c r="H7" s="29" t="n">
        <x:v>0.794823408126831</x:v>
      </x:c>
      <x:c r="I7" s="28" t="n">
        <x:v>130</x:v>
      </x:c>
      <x:c r="J7" s="29" t="n">
        <x:v>189.583</x:v>
      </x:c>
      <x:c r="K7" s="28" t="n">
        <x:v>99530</x:v>
      </x:c>
      <x:c r="L7" s="28" t="str">
        <x:v>strongest_method_for_dataset_then_grid_selected_by_val_only_no_test</x:v>
      </x:c>
      <x:c r="M7" s="28" t="str">
        <x:v>strongest_baseline_repeats_merged.csv</x:v>
      </x:c>
      <x:c r="N7" s="28" t="n">
        <x:v>7</x:v>
      </x:c>
      <x:c r="O7" s="28" t="str">
        <x:v>strong_baseline_results_cpu/strongest_baseline_repeats_merged.csv</x:v>
      </x:c>
      <x:c r="P7" s="28" t="str">
        <x:v>class_balanced_random_20_train_30_val_per_class</x:v>
      </x:c>
    </x:row>
    <x:row r="8" ht="18" customHeight="1">
      <x:c r="A8" s="28" t="str">
        <x:v>amazon-computers</x:v>
      </x:c>
      <x:c r="B8" s="28" t="str">
        <x:v>graphsage</x:v>
      </x:c>
      <x:c r="C8" s="28" t="n">
        <x:v>6</x:v>
      </x:c>
      <x:c r="D8" s="28" t="n">
        <x:v>0</x:v>
      </x:c>
      <x:c r="E8" s="28" t="n">
        <x:v>20260425</x:v>
      </x:c>
      <x:c r="F8" s="29" t="n">
        <x:v>0.975000023841858</x:v>
      </x:c>
      <x:c r="G8" s="29" t="n">
        <x:v>0.8833333253860474</x:v>
      </x:c>
      <x:c r="H8" s="29" t="n">
        <x:v>0.7723362445831299</x:v>
      </x:c>
      <x:c r="I8" s="28" t="n">
        <x:v>155</x:v>
      </x:c>
      <x:c r="J8" s="29" t="n">
        <x:v>214.598</x:v>
      </x:c>
      <x:c r="K8" s="28" t="n">
        <x:v>99530</x:v>
      </x:c>
      <x:c r="L8" s="28" t="str">
        <x:v>strongest_method_for_dataset_then_grid_selected_by_val_only_no_test</x:v>
      </x:c>
      <x:c r="M8" s="28" t="str">
        <x:v>strongest_baseline_repeats_merged.csv</x:v>
      </x:c>
      <x:c r="N8" s="28" t="n">
        <x:v>8</x:v>
      </x:c>
      <x:c r="O8" s="28" t="str">
        <x:v>strong_baseline_results_cpu/strongest_baseline_repeats_merged.csv</x:v>
      </x:c>
      <x:c r="P8" s="28" t="str">
        <x:v>class_balanced_random_20_train_30_val_per_class</x:v>
      </x:c>
    </x:row>
    <x:row r="9" ht="18" customHeight="1">
      <x:c r="A9" s="28" t="str">
        <x:v>amazon-computers</x:v>
      </x:c>
      <x:c r="B9" s="28" t="str">
        <x:v>graphsage</x:v>
      </x:c>
      <x:c r="C9" s="28" t="n">
        <x:v>7</x:v>
      </x:c>
      <x:c r="D9" s="28" t="n">
        <x:v>0</x:v>
      </x:c>
      <x:c r="E9" s="28" t="n">
        <x:v>20260426</x:v>
      </x:c>
      <x:c r="F9" s="29" t="n">
        <x:v>0.9800000190734864</x:v>
      </x:c>
      <x:c r="G9" s="29" t="n">
        <x:v>0.8833333253860474</x:v>
      </x:c>
      <x:c r="H9" s="29" t="n">
        <x:v>0.7595834732055664</x:v>
      </x:c>
      <x:c r="I9" s="28" t="n">
        <x:v>195</x:v>
      </x:c>
      <x:c r="J9" s="29" t="n">
        <x:v>257.14</x:v>
      </x:c>
      <x:c r="K9" s="28" t="n">
        <x:v>99530</x:v>
      </x:c>
      <x:c r="L9" s="28" t="str">
        <x:v>strongest_method_for_dataset_then_grid_selected_by_val_only_no_test</x:v>
      </x:c>
      <x:c r="M9" s="28" t="str">
        <x:v>strongest_baseline_repeats_merged.csv</x:v>
      </x:c>
      <x:c r="N9" s="28" t="n">
        <x:v>9</x:v>
      </x:c>
      <x:c r="O9" s="28" t="str">
        <x:v>strong_baseline_results_cpu/strongest_baseline_repeats_merged.csv</x:v>
      </x:c>
      <x:c r="P9" s="28" t="str">
        <x:v>class_balanced_random_20_train_30_val_per_class</x:v>
      </x:c>
    </x:row>
    <x:row r="10" ht="18" customHeight="1">
      <x:c r="A10" s="28" t="str">
        <x:v>amazon-computers</x:v>
      </x:c>
      <x:c r="B10" s="28" t="str">
        <x:v>graphsage</x:v>
      </x:c>
      <x:c r="C10" s="28" t="n">
        <x:v>8</x:v>
      </x:c>
      <x:c r="D10" s="28" t="n">
        <x:v>0</x:v>
      </x:c>
      <x:c r="E10" s="28" t="n">
        <x:v>20260427</x:v>
      </x:c>
      <x:c r="F10" s="29" t="n">
        <x:v>0.975000023841858</x:v>
      </x:c>
      <x:c r="G10" s="29" t="n">
        <x:v>0.8500000238418579</x:v>
      </x:c>
      <x:c r="H10" s="29" t="n">
        <x:v>0.7764865756034851</x:v>
      </x:c>
      <x:c r="I10" s="28" t="n">
        <x:v>165</x:v>
      </x:c>
      <x:c r="J10" s="29" t="n">
        <x:v>225.722</x:v>
      </x:c>
      <x:c r="K10" s="28" t="n">
        <x:v>99530</x:v>
      </x:c>
      <x:c r="L10" s="28" t="str">
        <x:v>strongest_method_for_dataset_then_grid_selected_by_val_only_no_test</x:v>
      </x:c>
      <x:c r="M10" s="28" t="str">
        <x:v>strongest_baseline_repeats_merged.csv</x:v>
      </x:c>
      <x:c r="N10" s="28" t="n">
        <x:v>10</x:v>
      </x:c>
      <x:c r="O10" s="28" t="str">
        <x:v>strong_baseline_results_cpu/strongest_baseline_repeats_merged.csv</x:v>
      </x:c>
      <x:c r="P10" s="28" t="str">
        <x:v>class_balanced_random_20_train_30_val_per_class</x:v>
      </x:c>
    </x:row>
    <x:row r="11" ht="18" customHeight="1">
      <x:c r="A11" s="28" t="str">
        <x:v>amazon-computers</x:v>
      </x:c>
      <x:c r="B11" s="28" t="str">
        <x:v>graphsage</x:v>
      </x:c>
      <x:c r="C11" s="28" t="n">
        <x:v>9</x:v>
      </x:c>
      <x:c r="D11" s="28" t="n">
        <x:v>0</x:v>
      </x:c>
      <x:c r="E11" s="28" t="n">
        <x:v>20260428</x:v>
      </x:c>
      <x:c r="F11" s="29" t="n">
        <x:v>0.9350000023841858</x:v>
      </x:c>
      <x:c r="G11" s="29" t="n">
        <x:v>0.9200000166893004</x:v>
      </x:c>
      <x:c r="H11" s="29" t="n">
        <x:v>0.7884847521781921</x:v>
      </x:c>
      <x:c r="I11" s="28" t="n">
        <x:v>160</x:v>
      </x:c>
      <x:c r="J11" s="29" t="n">
        <x:v>220.124</x:v>
      </x:c>
      <x:c r="K11" s="28" t="n">
        <x:v>99530</x:v>
      </x:c>
      <x:c r="L11" s="28" t="str">
        <x:v>strongest_method_for_dataset_then_grid_selected_by_val_only_no_test</x:v>
      </x:c>
      <x:c r="M11" s="28" t="str">
        <x:v>strongest_baseline_repeats_merged.csv</x:v>
      </x:c>
      <x:c r="N11" s="28" t="n">
        <x:v>11</x:v>
      </x:c>
      <x:c r="O11" s="28" t="str">
        <x:v>strong_baseline_results_cpu/strongest_baseline_repeats_merged.csv</x:v>
      </x:c>
      <x:c r="P11" s="28" t="str">
        <x:v>class_balanced_random_20_train_30_val_per_class</x:v>
      </x:c>
    </x:row>
    <x:row r="12" ht="18" customHeight="1">
      <x:c r="A12" s="28" t="str">
        <x:v>amazon-photo</x:v>
      </x:c>
      <x:c r="B12" s="28" t="str">
        <x:v>graphsage</x:v>
      </x:c>
      <x:c r="C12" s="28" t="n">
        <x:v>0</x:v>
      </x:c>
      <x:c r="D12" s="28" t="n">
        <x:v>0</x:v>
      </x:c>
      <x:c r="E12" s="28" t="n">
        <x:v>20260419</x:v>
      </x:c>
      <x:c r="F12" s="29" t="n">
        <x:v>1</x:v>
      </x:c>
      <x:c r="G12" s="29" t="n">
        <x:v>0.912500023841858</x:v>
      </x:c>
      <x:c r="H12" s="29" t="n">
        <x:v>0.8939310312271118</x:v>
      </x:c>
      <x:c r="I12" s="28" t="n">
        <x:v>140</x:v>
      </x:c>
      <x:c r="J12" s="29" t="n">
        <x:v>84.61</x:v>
      </x:c>
      <x:c r="K12" s="28" t="n">
        <x:v>96456</x:v>
      </x:c>
      <x:c r="L12" s="28" t="str">
        <x:v>strongest_method_for_dataset_then_grid_selected_by_val_only_no_test</x:v>
      </x:c>
      <x:c r="M12" s="28" t="str">
        <x:v>strongest_baseline_repeats_merged.csv</x:v>
      </x:c>
      <x:c r="N12" s="28" t="n">
        <x:v>12</x:v>
      </x:c>
      <x:c r="O12" s="28" t="str">
        <x:v>strong_baseline_results_cpu/strongest_baseline_repeats_merged.csv</x:v>
      </x:c>
      <x:c r="P12" s="28" t="str">
        <x:v>class_balanced_random_20_train_30_val_per_class</x:v>
      </x:c>
    </x:row>
    <x:row r="13" ht="18" customHeight="1">
      <x:c r="A13" s="28" t="str">
        <x:v>amazon-photo</x:v>
      </x:c>
      <x:c r="B13" s="28" t="str">
        <x:v>graphsage</x:v>
      </x:c>
      <x:c r="C13" s="28" t="n">
        <x:v>1</x:v>
      </x:c>
      <x:c r="D13" s="28" t="n">
        <x:v>0</x:v>
      </x:c>
      <x:c r="E13" s="28" t="n">
        <x:v>20260420</x:v>
      </x:c>
      <x:c r="F13" s="29" t="n">
        <x:v>0.993749976158142</x:v>
      </x:c>
      <x:c r="G13" s="29" t="n">
        <x:v>0.9083333611488342</x:v>
      </x:c>
      <x:c r="H13" s="29" t="n">
        <x:v>0.9004138112068176</x:v>
      </x:c>
      <x:c r="I13" s="28" t="n">
        <x:v>135</x:v>
      </x:c>
      <x:c r="J13" s="29" t="n">
        <x:v>93.621</x:v>
      </x:c>
      <x:c r="K13" s="28" t="n">
        <x:v>96456</x:v>
      </x:c>
      <x:c r="L13" s="28" t="str">
        <x:v>strongest_method_for_dataset_then_grid_selected_by_val_only_no_test</x:v>
      </x:c>
      <x:c r="M13" s="28" t="str">
        <x:v>strongest_baseline_repeats_merged.csv</x:v>
      </x:c>
      <x:c r="N13" s="28" t="n">
        <x:v>13</x:v>
      </x:c>
      <x:c r="O13" s="28" t="str">
        <x:v>strong_baseline_results_cpu/strongest_baseline_repeats_merged.csv</x:v>
      </x:c>
      <x:c r="P13" s="28" t="str">
        <x:v>class_balanced_random_20_train_30_val_per_class</x:v>
      </x:c>
    </x:row>
    <x:row r="14" ht="18" customHeight="1">
      <x:c r="A14" s="28" t="str">
        <x:v>amazon-photo</x:v>
      </x:c>
      <x:c r="B14" s="28" t="str">
        <x:v>graphsage</x:v>
      </x:c>
      <x:c r="C14" s="28" t="n">
        <x:v>2</x:v>
      </x:c>
      <x:c r="D14" s="28" t="n">
        <x:v>0</x:v>
      </x:c>
      <x:c r="E14" s="28" t="n">
        <x:v>20260421</x:v>
      </x:c>
      <x:c r="F14" s="29" t="n">
        <x:v>0.993749976158142</x:v>
      </x:c>
      <x:c r="G14" s="29" t="n">
        <x:v>0.925000011920929</x:v>
      </x:c>
      <x:c r="H14" s="29" t="n">
        <x:v>0.8957241177558899</x:v>
      </x:c>
      <x:c r="I14" s="28" t="n">
        <x:v>110</x:v>
      </x:c>
      <x:c r="J14" s="29" t="n">
        <x:v>70.593</x:v>
      </x:c>
      <x:c r="K14" s="28" t="n">
        <x:v>96456</x:v>
      </x:c>
      <x:c r="L14" s="28" t="str">
        <x:v>strongest_method_for_dataset_then_grid_selected_by_val_only_no_test</x:v>
      </x:c>
      <x:c r="M14" s="28" t="str">
        <x:v>strongest_baseline_repeats_merged.csv</x:v>
      </x:c>
      <x:c r="N14" s="28" t="n">
        <x:v>14</x:v>
      </x:c>
      <x:c r="O14" s="28" t="str">
        <x:v>strong_baseline_results_cpu/strongest_baseline_repeats_merged.csv</x:v>
      </x:c>
      <x:c r="P14" s="28" t="str">
        <x:v>class_balanced_random_20_train_30_val_per_class</x:v>
      </x:c>
    </x:row>
    <x:row r="15" ht="18" customHeight="1">
      <x:c r="A15" s="28" t="str">
        <x:v>amazon-photo</x:v>
      </x:c>
      <x:c r="B15" s="28" t="str">
        <x:v>graphsage</x:v>
      </x:c>
      <x:c r="C15" s="28" t="n">
        <x:v>3</x:v>
      </x:c>
      <x:c r="D15" s="28" t="n">
        <x:v>0</x:v>
      </x:c>
      <x:c r="E15" s="28" t="n">
        <x:v>20260422</x:v>
      </x:c>
      <x:c r="F15" s="29" t="n">
        <x:v>0.962499976158142</x:v>
      </x:c>
      <x:c r="G15" s="29" t="n">
        <x:v>0.9375</x:v>
      </x:c>
      <x:c r="H15" s="29" t="n">
        <x:v>0.8692413568496704</x:v>
      </x:c>
      <x:c r="I15" s="28" t="n">
        <x:v>95</x:v>
      </x:c>
      <x:c r="J15" s="29" t="n">
        <x:v>73.035</x:v>
      </x:c>
      <x:c r="K15" s="28" t="n">
        <x:v>96456</x:v>
      </x:c>
      <x:c r="L15" s="28" t="str">
        <x:v>strongest_method_for_dataset_then_grid_selected_by_val_only_no_test</x:v>
      </x:c>
      <x:c r="M15" s="28" t="str">
        <x:v>strongest_baseline_repeats_merged.csv</x:v>
      </x:c>
      <x:c r="N15" s="28" t="n">
        <x:v>15</x:v>
      </x:c>
      <x:c r="O15" s="28" t="str">
        <x:v>strong_baseline_results_cpu/strongest_baseline_repeats_merged.csv</x:v>
      </x:c>
      <x:c r="P15" s="28" t="str">
        <x:v>class_balanced_random_20_train_30_val_per_class</x:v>
      </x:c>
    </x:row>
    <x:row r="16" ht="18" customHeight="1">
      <x:c r="A16" s="28" t="str">
        <x:v>amazon-photo</x:v>
      </x:c>
      <x:c r="B16" s="28" t="str">
        <x:v>graphsage</x:v>
      </x:c>
      <x:c r="C16" s="28" t="n">
        <x:v>4</x:v>
      </x:c>
      <x:c r="D16" s="28" t="n">
        <x:v>0</x:v>
      </x:c>
      <x:c r="E16" s="28" t="n">
        <x:v>20260423</x:v>
      </x:c>
      <x:c r="F16" s="29" t="n">
        <x:v>0.981249988079071</x:v>
      </x:c>
      <x:c r="G16" s="29" t="n">
        <x:v>0.912500023841858</x:v>
      </x:c>
      <x:c r="H16" s="29" t="n">
        <x:v>0.9070344567298888</x:v>
      </x:c>
      <x:c r="I16" s="28" t="n">
        <x:v>115</x:v>
      </x:c>
      <x:c r="J16" s="29" t="n">
        <x:v>83.133</x:v>
      </x:c>
      <x:c r="K16" s="28" t="n">
        <x:v>96456</x:v>
      </x:c>
      <x:c r="L16" s="28" t="str">
        <x:v>strongest_method_for_dataset_then_grid_selected_by_val_only_no_test</x:v>
      </x:c>
      <x:c r="M16" s="28" t="str">
        <x:v>strongest_baseline_repeats_merged.csv</x:v>
      </x:c>
      <x:c r="N16" s="28" t="n">
        <x:v>16</x:v>
      </x:c>
      <x:c r="O16" s="28" t="str">
        <x:v>strong_baseline_results_cpu/strongest_baseline_repeats_merged.csv</x:v>
      </x:c>
      <x:c r="P16" s="28" t="str">
        <x:v>class_balanced_random_20_train_30_val_per_class</x:v>
      </x:c>
    </x:row>
    <x:row r="17" ht="18" customHeight="1">
      <x:c r="A17" s="28" t="str">
        <x:v>amazon-photo</x:v>
      </x:c>
      <x:c r="B17" s="28" t="str">
        <x:v>graphsage</x:v>
      </x:c>
      <x:c r="C17" s="28" t="n">
        <x:v>5</x:v>
      </x:c>
      <x:c r="D17" s="28" t="n">
        <x:v>0</x:v>
      </x:c>
      <x:c r="E17" s="28" t="n">
        <x:v>20260424</x:v>
      </x:c>
      <x:c r="F17" s="29" t="n">
        <x:v>0.987500011920929</x:v>
      </x:c>
      <x:c r="G17" s="29" t="n">
        <x:v>0.912500023841858</x:v>
      </x:c>
      <x:c r="H17" s="29" t="n">
        <x:v>0.8772413730621338</x:v>
      </x:c>
      <x:c r="I17" s="28" t="n">
        <x:v>130</x:v>
      </x:c>
      <x:c r="J17" s="29" t="n">
        <x:v>80.562</x:v>
      </x:c>
      <x:c r="K17" s="28" t="n">
        <x:v>96456</x:v>
      </x:c>
      <x:c r="L17" s="28" t="str">
        <x:v>strongest_method_for_dataset_then_grid_selected_by_val_only_no_test</x:v>
      </x:c>
      <x:c r="M17" s="28" t="str">
        <x:v>strongest_baseline_repeats_merged.csv</x:v>
      </x:c>
      <x:c r="N17" s="28" t="n">
        <x:v>17</x:v>
      </x:c>
      <x:c r="O17" s="28" t="str">
        <x:v>strong_baseline_results_cpu/strongest_baseline_repeats_merged.csv</x:v>
      </x:c>
      <x:c r="P17" s="28" t="str">
        <x:v>class_balanced_random_20_train_30_val_per_class</x:v>
      </x:c>
    </x:row>
    <x:row r="18" ht="18" customHeight="1">
      <x:c r="A18" s="28" t="str">
        <x:v>amazon-photo</x:v>
      </x:c>
      <x:c r="B18" s="28" t="str">
        <x:v>graphsage</x:v>
      </x:c>
      <x:c r="C18" s="28" t="n">
        <x:v>6</x:v>
      </x:c>
      <x:c r="D18" s="28" t="n">
        <x:v>0</x:v>
      </x:c>
      <x:c r="E18" s="28" t="n">
        <x:v>20260425</x:v>
      </x:c>
      <x:c r="F18" s="29" t="n">
        <x:v>0.96875</x:v>
      </x:c>
      <x:c r="G18" s="29" t="n">
        <x:v>0.9166666865348816</x:v>
      </x:c>
      <x:c r="H18" s="29" t="n">
        <x:v>0.8746206760406494</x:v>
      </x:c>
      <x:c r="I18" s="28" t="n">
        <x:v>75</x:v>
      </x:c>
      <x:c r="J18" s="29" t="n">
        <x:v>63.503</x:v>
      </x:c>
      <x:c r="K18" s="28" t="n">
        <x:v>96456</x:v>
      </x:c>
      <x:c r="L18" s="28" t="str">
        <x:v>strongest_method_for_dataset_then_grid_selected_by_val_only_no_test</x:v>
      </x:c>
      <x:c r="M18" s="28" t="str">
        <x:v>strongest_baseline_repeats_merged.csv</x:v>
      </x:c>
      <x:c r="N18" s="28" t="n">
        <x:v>18</x:v>
      </x:c>
      <x:c r="O18" s="28" t="str">
        <x:v>strong_baseline_results_cpu/strongest_baseline_repeats_merged.csv</x:v>
      </x:c>
      <x:c r="P18" s="28" t="str">
        <x:v>class_balanced_random_20_train_30_val_per_class</x:v>
      </x:c>
    </x:row>
    <x:row r="19" ht="18" customHeight="1">
      <x:c r="A19" s="28" t="str">
        <x:v>amazon-photo</x:v>
      </x:c>
      <x:c r="B19" s="28" t="str">
        <x:v>graphsage</x:v>
      </x:c>
      <x:c r="C19" s="28" t="n">
        <x:v>7</x:v>
      </x:c>
      <x:c r="D19" s="28" t="n">
        <x:v>0</x:v>
      </x:c>
      <x:c r="E19" s="28" t="n">
        <x:v>20260426</x:v>
      </x:c>
      <x:c r="F19" s="29" t="n">
        <x:v>0.981249988079071</x:v>
      </x:c>
      <x:c r="G19" s="29" t="n">
        <x:v>0.8958333134651184</x:v>
      </x:c>
      <x:c r="H19" s="29" t="n">
        <x:v>0.8725517392158508</x:v>
      </x:c>
      <x:c r="I19" s="28" t="n">
        <x:v>115</x:v>
      </x:c>
      <x:c r="J19" s="29" t="n">
        <x:v>83.651</x:v>
      </x:c>
      <x:c r="K19" s="28" t="n">
        <x:v>96456</x:v>
      </x:c>
      <x:c r="L19" s="28" t="str">
        <x:v>strongest_method_for_dataset_then_grid_selected_by_val_only_no_test</x:v>
      </x:c>
      <x:c r="M19" s="28" t="str">
        <x:v>strongest_baseline_repeats_merged.csv</x:v>
      </x:c>
      <x:c r="N19" s="28" t="n">
        <x:v>19</x:v>
      </x:c>
      <x:c r="O19" s="28" t="str">
        <x:v>strong_baseline_results_cpu/strongest_baseline_repeats_merged.csv</x:v>
      </x:c>
      <x:c r="P19" s="28" t="str">
        <x:v>class_balanced_random_20_train_30_val_per_class</x:v>
      </x:c>
    </x:row>
    <x:row r="20" ht="18" customHeight="1">
      <x:c r="A20" s="28" t="str">
        <x:v>amazon-photo</x:v>
      </x:c>
      <x:c r="B20" s="28" t="str">
        <x:v>graphsage</x:v>
      </x:c>
      <x:c r="C20" s="28" t="n">
        <x:v>8</x:v>
      </x:c>
      <x:c r="D20" s="28" t="n">
        <x:v>0</x:v>
      </x:c>
      <x:c r="E20" s="28" t="n">
        <x:v>20260427</x:v>
      </x:c>
      <x:c r="F20" s="29" t="n">
        <x:v>1</x:v>
      </x:c>
      <x:c r="G20" s="29" t="n">
        <x:v>0.8916666507720947</x:v>
      </x:c>
      <x:c r="H20" s="29" t="n">
        <x:v>0.8993103504180908</x:v>
      </x:c>
      <x:c r="I20" s="28" t="n">
        <x:v>170</x:v>
      </x:c>
      <x:c r="J20" s="29" t="n">
        <x:v>109.292</x:v>
      </x:c>
      <x:c r="K20" s="28" t="n">
        <x:v>96456</x:v>
      </x:c>
      <x:c r="L20" s="28" t="str">
        <x:v>strongest_method_for_dataset_then_grid_selected_by_val_only_no_test</x:v>
      </x:c>
      <x:c r="M20" s="28" t="str">
        <x:v>strongest_baseline_repeats_merged.csv</x:v>
      </x:c>
      <x:c r="N20" s="28" t="n">
        <x:v>20</x:v>
      </x:c>
      <x:c r="O20" s="28" t="str">
        <x:v>strong_baseline_results_cpu/strongest_baseline_repeats_merged.csv</x:v>
      </x:c>
      <x:c r="P20" s="28" t="str">
        <x:v>class_balanced_random_20_train_30_val_per_class</x:v>
      </x:c>
    </x:row>
    <x:row r="21" ht="18" customHeight="1">
      <x:c r="A21" s="28" t="str">
        <x:v>amazon-photo</x:v>
      </x:c>
      <x:c r="B21" s="28" t="str">
        <x:v>graphsage</x:v>
      </x:c>
      <x:c r="C21" s="28" t="n">
        <x:v>9</x:v>
      </x:c>
      <x:c r="D21" s="28" t="n">
        <x:v>0</x:v>
      </x:c>
      <x:c r="E21" s="28" t="n">
        <x:v>20260428</x:v>
      </x:c>
      <x:c r="F21" s="29" t="n">
        <x:v>0.975000023841858</x:v>
      </x:c>
      <x:c r="G21" s="29" t="n">
        <x:v>0.9041666388511658</x:v>
      </x:c>
      <x:c r="H21" s="29" t="n">
        <x:v>0.8468965291976929</x:v>
      </x:c>
      <x:c r="I21" s="28" t="n">
        <x:v>90</x:v>
      </x:c>
      <x:c r="J21" s="29" t="n">
        <x:v>71.078</x:v>
      </x:c>
      <x:c r="K21" s="28" t="n">
        <x:v>96456</x:v>
      </x:c>
      <x:c r="L21" s="28" t="str">
        <x:v>strongest_method_for_dataset_then_grid_selected_by_val_only_no_test</x:v>
      </x:c>
      <x:c r="M21" s="28" t="str">
        <x:v>strongest_baseline_repeats_merged.csv</x:v>
      </x:c>
      <x:c r="N21" s="28" t="n">
        <x:v>21</x:v>
      </x:c>
      <x:c r="O21" s="28" t="str">
        <x:v>strong_baseline_results_cpu/strongest_baseline_repeats_merged.csv</x:v>
      </x:c>
      <x:c r="P21" s="28" t="str">
        <x:v>class_balanced_random_20_train_30_val_per_class</x:v>
      </x:c>
    </x:row>
    <x:row r="22" ht="18" customHeight="1">
      <x:c r="A22" s="28" t="str">
        <x:v>chameleon</x:v>
      </x:c>
      <x:c r="B22" s="28" t="str">
        <x:v>linkx</x:v>
      </x:c>
      <x:c r="C22" s="28" t="n">
        <x:v>0</x:v>
      </x:c>
      <x:c r="D22" s="28" t="n">
        <x:v>0</x:v>
      </x:c>
      <x:c r="E22" s="28" t="n">
        <x:v>0</x:v>
      </x:c>
      <x:c r="F22" s="29" t="n">
        <x:v>0.9981684684753418</x:v>
      </x:c>
      <x:c r="G22" s="29" t="n">
        <x:v>0.7448559403419495</x:v>
      </x:c>
      <x:c r="H22" s="29" t="n">
        <x:v>0.6973684430122375</x:v>
      </x:c>
      <x:c r="I22" s="28" t="n">
        <x:v>140</x:v>
      </x:c>
      <x:c r="J22" s="29" t="n">
        <x:v>5.366</x:v>
      </x:c>
      <x:c r="K22" s="28" t="n">
        <x:v>307589</x:v>
      </x:c>
      <x:c r="L22" s="28" t="str">
        <x:v>strongest_method_for_dataset_then_grid_selected_by_val_only_no_test</x:v>
      </x:c>
      <x:c r="M22" s="28" t="str">
        <x:v>strongest_baseline_repeats_merged.csv</x:v>
      </x:c>
      <x:c r="N22" s="28" t="n">
        <x:v>22</x:v>
      </x:c>
      <x:c r="O22" s="28" t="str">
        <x:v>strong_baseline_results_cpu/strongest_baseline_repeats_merged.csv</x:v>
      </x:c>
      <x:c r="P22" s="28" t="str">
        <x:v>fixed_geom_gcn_split_id_0</x:v>
      </x:c>
    </x:row>
    <x:row r="23" ht="18" customHeight="1">
      <x:c r="A23" s="28" t="str">
        <x:v>chameleon</x:v>
      </x:c>
      <x:c r="B23" s="28" t="str">
        <x:v>linkx</x:v>
      </x:c>
      <x:c r="C23" s="28" t="n">
        <x:v>1</x:v>
      </x:c>
      <x:c r="D23" s="28" t="n">
        <x:v>1</x:v>
      </x:c>
      <x:c r="E23" s="28" t="n">
        <x:v>1</x:v>
      </x:c>
      <x:c r="F23" s="29" t="n">
        <x:v>0.9890109896659852</x:v>
      </x:c>
      <x:c r="G23" s="29" t="n">
        <x:v>0.6899862885475159</x:v>
      </x:c>
      <x:c r="H23" s="29" t="n">
        <x:v>0.7280701994895935</x:v>
      </x:c>
      <x:c r="I23" s="28" t="n">
        <x:v>75</x:v>
      </x:c>
      <x:c r="J23" s="29" t="n">
        <x:v>3.675</x:v>
      </x:c>
      <x:c r="K23" s="28" t="n">
        <x:v>307589</x:v>
      </x:c>
      <x:c r="L23" s="28" t="str">
        <x:v>strongest_method_for_dataset_then_grid_selected_by_val_only_no_test</x:v>
      </x:c>
      <x:c r="M23" s="28" t="str">
        <x:v>strongest_baseline_repeats_merged.csv</x:v>
      </x:c>
      <x:c r="N23" s="28" t="n">
        <x:v>23</x:v>
      </x:c>
      <x:c r="O23" s="28" t="str">
        <x:v>strong_baseline_results_cpu/strongest_baseline_repeats_merged.csv</x:v>
      </x:c>
      <x:c r="P23" s="28" t="str">
        <x:v>fixed_geom_gcn_split_id_1</x:v>
      </x:c>
    </x:row>
    <x:row r="24" ht="18" customHeight="1">
      <x:c r="A24" s="28" t="str">
        <x:v>chameleon</x:v>
      </x:c>
      <x:c r="B24" s="28" t="str">
        <x:v>linkx</x:v>
      </x:c>
      <x:c r="C24" s="28" t="n">
        <x:v>2</x:v>
      </x:c>
      <x:c r="D24" s="28" t="n">
        <x:v>2</x:v>
      </x:c>
      <x:c r="E24" s="28" t="n">
        <x:v>2</x:v>
      </x:c>
      <x:c r="F24" s="29" t="n">
        <x:v>0.9844322204589844</x:v>
      </x:c>
      <x:c r="G24" s="29" t="n">
        <x:v>0.7187928557395935</x:v>
      </x:c>
      <x:c r="H24" s="29" t="n">
        <x:v>0.7061403393745422</x:v>
      </x:c>
      <x:c r="I24" s="28" t="n">
        <x:v>35</x:v>
      </x:c>
      <x:c r="J24" s="29" t="n">
        <x:v>2.521</x:v>
      </x:c>
      <x:c r="K24" s="28" t="n">
        <x:v>307589</x:v>
      </x:c>
      <x:c r="L24" s="28" t="str">
        <x:v>strongest_method_for_dataset_then_grid_selected_by_val_only_no_test</x:v>
      </x:c>
      <x:c r="M24" s="28" t="str">
        <x:v>strongest_baseline_repeats_merged.csv</x:v>
      </x:c>
      <x:c r="N24" s="28" t="n">
        <x:v>24</x:v>
      </x:c>
      <x:c r="O24" s="28" t="str">
        <x:v>strong_baseline_results_cpu/strongest_baseline_repeats_merged.csv</x:v>
      </x:c>
      <x:c r="P24" s="28" t="str">
        <x:v>fixed_geom_gcn_split_id_2</x:v>
      </x:c>
    </x:row>
    <x:row r="25" ht="18" customHeight="1">
      <x:c r="A25" s="28" t="str">
        <x:v>chameleon</x:v>
      </x:c>
      <x:c r="B25" s="28" t="str">
        <x:v>linkx</x:v>
      </x:c>
      <x:c r="C25" s="28" t="n">
        <x:v>3</x:v>
      </x:c>
      <x:c r="D25" s="28" t="n">
        <x:v>3</x:v>
      </x:c>
      <x:c r="E25" s="28" t="n">
        <x:v>3</x:v>
      </x:c>
      <x:c r="F25" s="29" t="n">
        <x:v>0.9972527623176576</x:v>
      </x:c>
      <x:c r="G25" s="29" t="n">
        <x:v>0.7325102686882019</x:v>
      </x:c>
      <x:c r="H25" s="29" t="n">
        <x:v>0.7105262875556946</x:v>
      </x:c>
      <x:c r="I25" s="28" t="n">
        <x:v>55</x:v>
      </x:c>
      <x:c r="J25" s="29" t="n">
        <x:v>2.981</x:v>
      </x:c>
      <x:c r="K25" s="28" t="n">
        <x:v>307589</x:v>
      </x:c>
      <x:c r="L25" s="28" t="str">
        <x:v>strongest_method_for_dataset_then_grid_selected_by_val_only_no_test</x:v>
      </x:c>
      <x:c r="M25" s="28" t="str">
        <x:v>strongest_baseline_repeats_merged.csv</x:v>
      </x:c>
      <x:c r="N25" s="28" t="n">
        <x:v>25</x:v>
      </x:c>
      <x:c r="O25" s="28" t="str">
        <x:v>strong_baseline_results_cpu/strongest_baseline_repeats_merged.csv</x:v>
      </x:c>
      <x:c r="P25" s="28" t="str">
        <x:v>fixed_geom_gcn_split_id_3</x:v>
      </x:c>
    </x:row>
    <x:row r="26" ht="18" customHeight="1">
      <x:c r="A26" s="28" t="str">
        <x:v>chameleon</x:v>
      </x:c>
      <x:c r="B26" s="28" t="str">
        <x:v>linkx</x:v>
      </x:c>
      <x:c r="C26" s="28" t="n">
        <x:v>4</x:v>
      </x:c>
      <x:c r="D26" s="28" t="n">
        <x:v>4</x:v>
      </x:c>
      <x:c r="E26" s="28" t="n">
        <x:v>4</x:v>
      </x:c>
      <x:c r="F26" s="29" t="n">
        <x:v>0.9954212307929992</x:v>
      </x:c>
      <x:c r="G26" s="29" t="n">
        <x:v>0.7297667860984802</x:v>
      </x:c>
      <x:c r="H26" s="29" t="n">
        <x:v>0.7324561476707458</x:v>
      </x:c>
      <x:c r="I26" s="28" t="n">
        <x:v>100</x:v>
      </x:c>
      <x:c r="J26" s="29" t="n">
        <x:v>4.212</x:v>
      </x:c>
      <x:c r="K26" s="28" t="n">
        <x:v>307589</x:v>
      </x:c>
      <x:c r="L26" s="28" t="str">
        <x:v>strongest_method_for_dataset_then_grid_selected_by_val_only_no_test</x:v>
      </x:c>
      <x:c r="M26" s="28" t="str">
        <x:v>strongest_baseline_repeats_merged.csv</x:v>
      </x:c>
      <x:c r="N26" s="28" t="n">
        <x:v>26</x:v>
      </x:c>
      <x:c r="O26" s="28" t="str">
        <x:v>strong_baseline_results_cpu/strongest_baseline_repeats_merged.csv</x:v>
      </x:c>
      <x:c r="P26" s="28" t="str">
        <x:v>fixed_geom_gcn_split_id_4</x:v>
      </x:c>
    </x:row>
    <x:row r="27" ht="18" customHeight="1">
      <x:c r="A27" s="28" t="str">
        <x:v>chameleon</x:v>
      </x:c>
      <x:c r="B27" s="28" t="str">
        <x:v>linkx</x:v>
      </x:c>
      <x:c r="C27" s="28" t="n">
        <x:v>5</x:v>
      </x:c>
      <x:c r="D27" s="28" t="n">
        <x:v>5</x:v>
      </x:c>
      <x:c r="E27" s="28" t="n">
        <x:v>5</x:v>
      </x:c>
      <x:c r="F27" s="29" t="n">
        <x:v>0.982600748538971</x:v>
      </x:c>
      <x:c r="G27" s="29" t="n">
        <x:v>0.7160493731498718</x:v>
      </x:c>
      <x:c r="H27" s="29" t="n">
        <x:v>0.7412280440330505</x:v>
      </x:c>
      <x:c r="I27" s="28" t="n">
        <x:v>45</x:v>
      </x:c>
      <x:c r="J27" s="29" t="n">
        <x:v>2.226</x:v>
      </x:c>
      <x:c r="K27" s="28" t="n">
        <x:v>307589</x:v>
      </x:c>
      <x:c r="L27" s="28" t="str">
        <x:v>strongest_method_for_dataset_then_grid_selected_by_val_only_no_test</x:v>
      </x:c>
      <x:c r="M27" s="28" t="str">
        <x:v>strongest_baseline_repeats_merged.csv</x:v>
      </x:c>
      <x:c r="N27" s="28" t="n">
        <x:v>27</x:v>
      </x:c>
      <x:c r="O27" s="28" t="str">
        <x:v>strong_baseline_results_cpu/strongest_baseline_repeats_merged.csv</x:v>
      </x:c>
      <x:c r="P27" s="28" t="str">
        <x:v>fixed_geom_gcn_split_id_5</x:v>
      </x:c>
    </x:row>
    <x:row r="28" ht="18" customHeight="1">
      <x:c r="A28" s="28" t="str">
        <x:v>chameleon</x:v>
      </x:c>
      <x:c r="B28" s="28" t="str">
        <x:v>linkx</x:v>
      </x:c>
      <x:c r="C28" s="28" t="n">
        <x:v>6</x:v>
      </x:c>
      <x:c r="D28" s="28" t="n">
        <x:v>6</x:v>
      </x:c>
      <x:c r="E28" s="28" t="n">
        <x:v>6</x:v>
      </x:c>
      <x:c r="F28" s="29" t="n">
        <x:v>0.9990842342376708</x:v>
      </x:c>
      <x:c r="G28" s="29" t="n">
        <x:v>0.7201645970344543</x:v>
      </x:c>
      <x:c r="H28" s="29" t="n">
        <x:v>0.7039473652839661</x:v>
      </x:c>
      <x:c r="I28" s="28" t="n">
        <x:v>60</x:v>
      </x:c>
      <x:c r="J28" s="29" t="n">
        <x:v>3.19</x:v>
      </x:c>
      <x:c r="K28" s="28" t="n">
        <x:v>307589</x:v>
      </x:c>
      <x:c r="L28" s="28" t="str">
        <x:v>strongest_method_for_dataset_then_grid_selected_by_val_only_no_test</x:v>
      </x:c>
      <x:c r="M28" s="28" t="str">
        <x:v>strongest_baseline_repeats_merged.csv</x:v>
      </x:c>
      <x:c r="N28" s="28" t="n">
        <x:v>28</x:v>
      </x:c>
      <x:c r="O28" s="28" t="str">
        <x:v>strong_baseline_results_cpu/strongest_baseline_repeats_merged.csv</x:v>
      </x:c>
      <x:c r="P28" s="28" t="str">
        <x:v>fixed_geom_gcn_split_id_6</x:v>
      </x:c>
    </x:row>
    <x:row r="29" ht="18" customHeight="1">
      <x:c r="A29" s="28" t="str">
        <x:v>chameleon</x:v>
      </x:c>
      <x:c r="B29" s="28" t="str">
        <x:v>linkx</x:v>
      </x:c>
      <x:c r="C29" s="28" t="n">
        <x:v>7</x:v>
      </x:c>
      <x:c r="D29" s="28" t="n">
        <x:v>7</x:v>
      </x:c>
      <x:c r="E29" s="28" t="n">
        <x:v>7</x:v>
      </x:c>
      <x:c r="F29" s="29" t="n">
        <x:v>0.9780219793319702</x:v>
      </x:c>
      <x:c r="G29" s="29" t="n">
        <x:v>0.6913580298423767</x:v>
      </x:c>
      <x:c r="H29" s="29" t="n">
        <x:v>0.7039473652839661</x:v>
      </x:c>
      <x:c r="I29" s="28" t="n">
        <x:v>45</x:v>
      </x:c>
      <x:c r="J29" s="29" t="n">
        <x:v>2.748</x:v>
      </x:c>
      <x:c r="K29" s="28" t="n">
        <x:v>307589</x:v>
      </x:c>
      <x:c r="L29" s="28" t="str">
        <x:v>strongest_method_for_dataset_then_grid_selected_by_val_only_no_test</x:v>
      </x:c>
      <x:c r="M29" s="28" t="str">
        <x:v>strongest_baseline_repeats_merged.csv</x:v>
      </x:c>
      <x:c r="N29" s="28" t="n">
        <x:v>29</x:v>
      </x:c>
      <x:c r="O29" s="28" t="str">
        <x:v>strong_baseline_results_cpu/strongest_baseline_repeats_merged.csv</x:v>
      </x:c>
      <x:c r="P29" s="28" t="str">
        <x:v>fixed_geom_gcn_split_id_7</x:v>
      </x:c>
    </x:row>
    <x:row r="30" ht="18" customHeight="1">
      <x:c r="A30" s="28" t="str">
        <x:v>chameleon</x:v>
      </x:c>
      <x:c r="B30" s="28" t="str">
        <x:v>linkx</x:v>
      </x:c>
      <x:c r="C30" s="28" t="n">
        <x:v>8</x:v>
      </x:c>
      <x:c r="D30" s="28" t="n">
        <x:v>8</x:v>
      </x:c>
      <x:c r="E30" s="28" t="n">
        <x:v>8</x:v>
      </x:c>
      <x:c r="F30" s="29" t="n">
        <x:v>1</x:v>
      </x:c>
      <x:c r="G30" s="29" t="n">
        <x:v>0.7297667860984802</x:v>
      </x:c>
      <x:c r="H30" s="29" t="n">
        <x:v>0.7258771657943726</x:v>
      </x:c>
      <x:c r="I30" s="28" t="n">
        <x:v>55</x:v>
      </x:c>
      <x:c r="J30" s="29" t="n">
        <x:v>2.83</x:v>
      </x:c>
      <x:c r="K30" s="28" t="n">
        <x:v>307589</x:v>
      </x:c>
      <x:c r="L30" s="28" t="str">
        <x:v>strongest_method_for_dataset_then_grid_selected_by_val_only_no_test</x:v>
      </x:c>
      <x:c r="M30" s="28" t="str">
        <x:v>strongest_baseline_repeats_merged.csv</x:v>
      </x:c>
      <x:c r="N30" s="28" t="n">
        <x:v>30</x:v>
      </x:c>
      <x:c r="O30" s="28" t="str">
        <x:v>strong_baseline_results_cpu/strongest_baseline_repeats_merged.csv</x:v>
      </x:c>
      <x:c r="P30" s="28" t="str">
        <x:v>fixed_geom_gcn_split_id_8</x:v>
      </x:c>
    </x:row>
    <x:row r="31" ht="18" customHeight="1">
      <x:c r="A31" s="28" t="str">
        <x:v>chameleon</x:v>
      </x:c>
      <x:c r="B31" s="28" t="str">
        <x:v>linkx</x:v>
      </x:c>
      <x:c r="C31" s="28" t="n">
        <x:v>9</x:v>
      </x:c>
      <x:c r="D31" s="28" t="n">
        <x:v>9</x:v>
      </x:c>
      <x:c r="E31" s="28" t="n">
        <x:v>9</x:v>
      </x:c>
      <x:c r="F31" s="29" t="n">
        <x:v>0.9981684684753418</x:v>
      </x:c>
      <x:c r="G31" s="29" t="n">
        <x:v>0.7201645970344543</x:v>
      </x:c>
      <x:c r="H31" s="29" t="n">
        <x:v>0.7061403393745422</x:v>
      </x:c>
      <x:c r="I31" s="28" t="n">
        <x:v>150</x:v>
      </x:c>
      <x:c r="J31" s="29" t="n">
        <x:v>5.805</x:v>
      </x:c>
      <x:c r="K31" s="28" t="n">
        <x:v>307589</x:v>
      </x:c>
      <x:c r="L31" s="28" t="str">
        <x:v>strongest_method_for_dataset_then_grid_selected_by_val_only_no_test</x:v>
      </x:c>
      <x:c r="M31" s="28" t="str">
        <x:v>strongest_baseline_repeats_merged.csv</x:v>
      </x:c>
      <x:c r="N31" s="28" t="n">
        <x:v>31</x:v>
      </x:c>
      <x:c r="O31" s="28" t="str">
        <x:v>strong_baseline_results_cpu/strongest_baseline_repeats_merged.csv</x:v>
      </x:c>
      <x:c r="P31" s="28" t="str">
        <x:v>fixed_geom_gcn_split_id_9</x:v>
      </x:c>
    </x:row>
    <x:row r="32" ht="18" customHeight="1">
      <x:c r="A32" s="28" t="str">
        <x:v>cornell</x:v>
      </x:c>
      <x:c r="B32" s="28" t="str">
        <x:v>graphsage</x:v>
      </x:c>
      <x:c r="C32" s="28" t="n">
        <x:v>0</x:v>
      </x:c>
      <x:c r="D32" s="28" t="n">
        <x:v>0</x:v>
      </x:c>
      <x:c r="E32" s="28" t="n">
        <x:v>20260419</x:v>
      </x:c>
      <x:c r="F32" s="29" t="n">
        <x:v>0.9425287246704102</x:v>
      </x:c>
      <x:c r="G32" s="29" t="n">
        <x:v>0.7796609997749329</x:v>
      </x:c>
      <x:c r="H32" s="29" t="n">
        <x:v>0.6216216087341309</x:v>
      </x:c>
      <x:c r="I32" s="28" t="n">
        <x:v>50</x:v>
      </x:c>
      <x:c r="J32" s="29" t="n">
        <x:v>0.4</x:v>
      </x:c>
      <x:c r="K32" s="28" t="n">
        <x:v>218693</x:v>
      </x:c>
      <x:c r="L32" s="28" t="str">
        <x:v>strongest_method_for_dataset_then_grid_selected_by_val_only_no_test</x:v>
      </x:c>
      <x:c r="M32" s="28" t="str">
        <x:v>strongest_baseline_repeats_merged.csv</x:v>
      </x:c>
      <x:c r="N32" s="28" t="n">
        <x:v>32</x:v>
      </x:c>
      <x:c r="O32" s="28" t="str">
        <x:v>strong_baseline_results_cpu/strongest_baseline_repeats_merged.csv</x:v>
      </x:c>
      <x:c r="P32" s="28" t="str">
        <x:v>random_stratified_matching_fixed_split0_class_counts</x:v>
      </x:c>
    </x:row>
    <x:row r="33" ht="18" customHeight="1">
      <x:c r="A33" s="28" t="str">
        <x:v>cornell</x:v>
      </x:c>
      <x:c r="B33" s="28" t="str">
        <x:v>graphsage</x:v>
      </x:c>
      <x:c r="C33" s="28" t="n">
        <x:v>1</x:v>
      </x:c>
      <x:c r="D33" s="28" t="n">
        <x:v>0</x:v>
      </x:c>
      <x:c r="E33" s="28" t="n">
        <x:v>20260420</x:v>
      </x:c>
      <x:c r="F33" s="29" t="n">
        <x:v>1</x:v>
      </x:c>
      <x:c r="G33" s="29" t="n">
        <x:v>0.8644067645072937</x:v>
      </x:c>
      <x:c r="H33" s="29" t="n">
        <x:v>0.7297297120094299</x:v>
      </x:c>
      <x:c r="I33" s="28" t="n">
        <x:v>155</x:v>
      </x:c>
      <x:c r="J33" s="29" t="n">
        <x:v>1.134</x:v>
      </x:c>
      <x:c r="K33" s="28" t="n">
        <x:v>218693</x:v>
      </x:c>
      <x:c r="L33" s="28" t="str">
        <x:v>strongest_method_for_dataset_then_grid_selected_by_val_only_no_test</x:v>
      </x:c>
      <x:c r="M33" s="28" t="str">
        <x:v>strongest_baseline_repeats_merged.csv</x:v>
      </x:c>
      <x:c r="N33" s="28" t="n">
        <x:v>33</x:v>
      </x:c>
      <x:c r="O33" s="28" t="str">
        <x:v>strong_baseline_results_cpu/strongest_baseline_repeats_merged.csv</x:v>
      </x:c>
      <x:c r="P33" s="28" t="str">
        <x:v>random_stratified_matching_fixed_split0_class_counts</x:v>
      </x:c>
    </x:row>
    <x:row r="34" ht="18" customHeight="1">
      <x:c r="A34" s="28" t="str">
        <x:v>cornell</x:v>
      </x:c>
      <x:c r="B34" s="28" t="str">
        <x:v>graphsage</x:v>
      </x:c>
      <x:c r="C34" s="28" t="n">
        <x:v>2</x:v>
      </x:c>
      <x:c r="D34" s="28" t="n">
        <x:v>0</x:v>
      </x:c>
      <x:c r="E34" s="28" t="n">
        <x:v>20260421</x:v>
      </x:c>
      <x:c r="F34" s="29" t="n">
        <x:v>0.931034505367279</x:v>
      </x:c>
      <x:c r="G34" s="29" t="n">
        <x:v>0.7627118825912476</x:v>
      </x:c>
      <x:c r="H34" s="29" t="n">
        <x:v>0.7027027010917664</x:v>
      </x:c>
      <x:c r="I34" s="28" t="n">
        <x:v>60</x:v>
      </x:c>
      <x:c r="J34" s="29" t="n">
        <x:v>0.624</x:v>
      </x:c>
      <x:c r="K34" s="28" t="n">
        <x:v>218693</x:v>
      </x:c>
      <x:c r="L34" s="28" t="str">
        <x:v>strongest_method_for_dataset_then_grid_selected_by_val_only_no_test</x:v>
      </x:c>
      <x:c r="M34" s="28" t="str">
        <x:v>strongest_baseline_repeats_merged.csv</x:v>
      </x:c>
      <x:c r="N34" s="28" t="n">
        <x:v>34</x:v>
      </x:c>
      <x:c r="O34" s="28" t="str">
        <x:v>strong_baseline_results_cpu/strongest_baseline_repeats_merged.csv</x:v>
      </x:c>
      <x:c r="P34" s="28" t="str">
        <x:v>random_stratified_matching_fixed_split0_class_counts</x:v>
      </x:c>
    </x:row>
    <x:row r="35" ht="18" customHeight="1">
      <x:c r="A35" s="28" t="str">
        <x:v>cornell</x:v>
      </x:c>
      <x:c r="B35" s="28" t="str">
        <x:v>graphsage</x:v>
      </x:c>
      <x:c r="C35" s="28" t="n">
        <x:v>3</x:v>
      </x:c>
      <x:c r="D35" s="28" t="n">
        <x:v>0</x:v>
      </x:c>
      <x:c r="E35" s="28" t="n">
        <x:v>20260422</x:v>
      </x:c>
      <x:c r="F35" s="29" t="n">
        <x:v>1</x:v>
      </x:c>
      <x:c r="G35" s="29" t="n">
        <x:v>0.7796609997749329</x:v>
      </x:c>
      <x:c r="H35" s="29" t="n">
        <x:v>0.6756756901741028</x:v>
      </x:c>
      <x:c r="I35" s="28" t="n">
        <x:v>115</x:v>
      </x:c>
      <x:c r="J35" s="29" t="n">
        <x:v>0.965</x:v>
      </x:c>
      <x:c r="K35" s="28" t="n">
        <x:v>218693</x:v>
      </x:c>
      <x:c r="L35" s="28" t="str">
        <x:v>strongest_method_for_dataset_then_grid_selected_by_val_only_no_test</x:v>
      </x:c>
      <x:c r="M35" s="28" t="str">
        <x:v>strongest_baseline_repeats_merged.csv</x:v>
      </x:c>
      <x:c r="N35" s="28" t="n">
        <x:v>35</x:v>
      </x:c>
      <x:c r="O35" s="28" t="str">
        <x:v>strong_baseline_results_cpu/strongest_baseline_repeats_merged.csv</x:v>
      </x:c>
      <x:c r="P35" s="28" t="str">
        <x:v>random_stratified_matching_fixed_split0_class_counts</x:v>
      </x:c>
    </x:row>
    <x:row r="36" ht="18" customHeight="1">
      <x:c r="A36" s="28" t="str">
        <x:v>cornell</x:v>
      </x:c>
      <x:c r="B36" s="28" t="str">
        <x:v>graphsage</x:v>
      </x:c>
      <x:c r="C36" s="28" t="n">
        <x:v>4</x:v>
      </x:c>
      <x:c r="D36" s="28" t="n">
        <x:v>0</x:v>
      </x:c>
      <x:c r="E36" s="28" t="n">
        <x:v>20260423</x:v>
      </x:c>
      <x:c r="F36" s="29" t="n">
        <x:v>1</x:v>
      </x:c>
      <x:c r="G36" s="29" t="n">
        <x:v>0.7796609997749329</x:v>
      </x:c>
      <x:c r="H36" s="29" t="n">
        <x:v>0.837837815284729</x:v>
      </x:c>
      <x:c r="I36" s="28" t="n">
        <x:v>100</x:v>
      </x:c>
      <x:c r="J36" s="29" t="n">
        <x:v>0.804</x:v>
      </x:c>
      <x:c r="K36" s="28" t="n">
        <x:v>218693</x:v>
      </x:c>
      <x:c r="L36" s="28" t="str">
        <x:v>strongest_method_for_dataset_then_grid_selected_by_val_only_no_test</x:v>
      </x:c>
      <x:c r="M36" s="28" t="str">
        <x:v>strongest_baseline_repeats_merged.csv</x:v>
      </x:c>
      <x:c r="N36" s="28" t="n">
        <x:v>36</x:v>
      </x:c>
      <x:c r="O36" s="28" t="str">
        <x:v>strong_baseline_results_cpu/strongest_baseline_repeats_merged.csv</x:v>
      </x:c>
      <x:c r="P36" s="28" t="str">
        <x:v>random_stratified_matching_fixed_split0_class_counts</x:v>
      </x:c>
    </x:row>
    <x:row r="37" ht="18" customHeight="1">
      <x:c r="A37" s="28" t="str">
        <x:v>cornell</x:v>
      </x:c>
      <x:c r="B37" s="28" t="str">
        <x:v>graphsage</x:v>
      </x:c>
      <x:c r="C37" s="28" t="n">
        <x:v>5</x:v>
      </x:c>
      <x:c r="D37" s="28" t="n">
        <x:v>0</x:v>
      </x:c>
      <x:c r="E37" s="28" t="n">
        <x:v>20260424</x:v>
      </x:c>
      <x:c r="F37" s="29" t="n">
        <x:v>1</x:v>
      </x:c>
      <x:c r="G37" s="29" t="n">
        <x:v>0.8474576473236084</x:v>
      </x:c>
      <x:c r="H37" s="29" t="n">
        <x:v>0.7297297120094299</x:v>
      </x:c>
      <x:c r="I37" s="28" t="n">
        <x:v>200</x:v>
      </x:c>
      <x:c r="J37" s="29" t="n">
        <x:v>1.538</x:v>
      </x:c>
      <x:c r="K37" s="28" t="n">
        <x:v>218693</x:v>
      </x:c>
      <x:c r="L37" s="28" t="str">
        <x:v>strongest_method_for_dataset_then_grid_selected_by_val_only_no_test</x:v>
      </x:c>
      <x:c r="M37" s="28" t="str">
        <x:v>strongest_baseline_repeats_merged.csv</x:v>
      </x:c>
      <x:c r="N37" s="28" t="n">
        <x:v>37</x:v>
      </x:c>
      <x:c r="O37" s="28" t="str">
        <x:v>strong_baseline_results_cpu/strongest_baseline_repeats_merged.csv</x:v>
      </x:c>
      <x:c r="P37" s="28" t="str">
        <x:v>random_stratified_matching_fixed_split0_class_counts</x:v>
      </x:c>
    </x:row>
    <x:row r="38" ht="18" customHeight="1">
      <x:c r="A38" s="28" t="str">
        <x:v>cornell</x:v>
      </x:c>
      <x:c r="B38" s="28" t="str">
        <x:v>graphsage</x:v>
      </x:c>
      <x:c r="C38" s="28" t="n">
        <x:v>6</x:v>
      </x:c>
      <x:c r="D38" s="28" t="n">
        <x:v>0</x:v>
      </x:c>
      <x:c r="E38" s="28" t="n">
        <x:v>20260425</x:v>
      </x:c>
      <x:c r="F38" s="29" t="n">
        <x:v>1</x:v>
      </x:c>
      <x:c r="G38" s="29" t="n">
        <x:v>0.7966101765632629</x:v>
      </x:c>
      <x:c r="H38" s="29" t="n">
        <x:v>0.8108108043670654</x:v>
      </x:c>
      <x:c r="I38" s="28" t="n">
        <x:v>90</x:v>
      </x:c>
      <x:c r="J38" s="29" t="n">
        <x:v>0.663</x:v>
      </x:c>
      <x:c r="K38" s="28" t="n">
        <x:v>218693</x:v>
      </x:c>
      <x:c r="L38" s="28" t="str">
        <x:v>strongest_method_for_dataset_then_grid_selected_by_val_only_no_test</x:v>
      </x:c>
      <x:c r="M38" s="28" t="str">
        <x:v>strongest_baseline_repeats_merged.csv</x:v>
      </x:c>
      <x:c r="N38" s="28" t="n">
        <x:v>38</x:v>
      </x:c>
      <x:c r="O38" s="28" t="str">
        <x:v>strong_baseline_results_cpu/strongest_baseline_repeats_merged.csv</x:v>
      </x:c>
      <x:c r="P38" s="28" t="str">
        <x:v>random_stratified_matching_fixed_split0_class_counts</x:v>
      </x:c>
    </x:row>
    <x:row r="39" ht="18" customHeight="1">
      <x:c r="A39" s="28" t="str">
        <x:v>cornell</x:v>
      </x:c>
      <x:c r="B39" s="28" t="str">
        <x:v>graphsage</x:v>
      </x:c>
      <x:c r="C39" s="28" t="n">
        <x:v>7</x:v>
      </x:c>
      <x:c r="D39" s="28" t="n">
        <x:v>0</x:v>
      </x:c>
      <x:c r="E39" s="28" t="n">
        <x:v>20260426</x:v>
      </x:c>
      <x:c r="F39" s="29" t="n">
        <x:v>1</x:v>
      </x:c>
      <x:c r="G39" s="29" t="n">
        <x:v>0.7288135886192322</x:v>
      </x:c>
      <x:c r="H39" s="29" t="n">
        <x:v>0.7027027010917664</x:v>
      </x:c>
      <x:c r="I39" s="28" t="n">
        <x:v>145</x:v>
      </x:c>
      <x:c r="J39" s="29" t="n">
        <x:v>0.765</x:v>
      </x:c>
      <x:c r="K39" s="28" t="n">
        <x:v>218693</x:v>
      </x:c>
      <x:c r="L39" s="28" t="str">
        <x:v>strongest_method_for_dataset_then_grid_selected_by_val_only_no_test</x:v>
      </x:c>
      <x:c r="M39" s="28" t="str">
        <x:v>strongest_baseline_repeats_merged.csv</x:v>
      </x:c>
      <x:c r="N39" s="28" t="n">
        <x:v>39</x:v>
      </x:c>
      <x:c r="O39" s="28" t="str">
        <x:v>strong_baseline_results_cpu/strongest_baseline_repeats_merged.csv</x:v>
      </x:c>
      <x:c r="P39" s="28" t="str">
        <x:v>random_stratified_matching_fixed_split0_class_counts</x:v>
      </x:c>
    </x:row>
    <x:row r="40" ht="18" customHeight="1">
      <x:c r="A40" s="28" t="str">
        <x:v>cornell</x:v>
      </x:c>
      <x:c r="B40" s="28" t="str">
        <x:v>graphsage</x:v>
      </x:c>
      <x:c r="C40" s="28" t="n">
        <x:v>8</x:v>
      </x:c>
      <x:c r="D40" s="28" t="n">
        <x:v>0</x:v>
      </x:c>
      <x:c r="E40" s="28" t="n">
        <x:v>20260427</x:v>
      </x:c>
      <x:c r="F40" s="29" t="n">
        <x:v>0.9655172228813172</x:v>
      </x:c>
      <x:c r="G40" s="29" t="n">
        <x:v>0.694915235042572</x:v>
      </x:c>
      <x:c r="H40" s="29" t="n">
        <x:v>0.6756756901741028</x:v>
      </x:c>
      <x:c r="I40" s="28" t="n">
        <x:v>60</x:v>
      </x:c>
      <x:c r="J40" s="29" t="n">
        <x:v>0.585</x:v>
      </x:c>
      <x:c r="K40" s="28" t="n">
        <x:v>218693</x:v>
      </x:c>
      <x:c r="L40" s="28" t="str">
        <x:v>strongest_method_for_dataset_then_grid_selected_by_val_only_no_test</x:v>
      </x:c>
      <x:c r="M40" s="28" t="str">
        <x:v>strongest_baseline_repeats_merged.csv</x:v>
      </x:c>
      <x:c r="N40" s="28" t="n">
        <x:v>40</x:v>
      </x:c>
      <x:c r="O40" s="28" t="str">
        <x:v>strong_baseline_results_cpu/strongest_baseline_repeats_merged.csv</x:v>
      </x:c>
      <x:c r="P40" s="28" t="str">
        <x:v>random_stratified_matching_fixed_split0_class_counts</x:v>
      </x:c>
    </x:row>
    <x:row r="41" ht="18" customHeight="1">
      <x:c r="A41" s="28" t="str">
        <x:v>cornell</x:v>
      </x:c>
      <x:c r="B41" s="28" t="str">
        <x:v>graphsage</x:v>
      </x:c>
      <x:c r="C41" s="28" t="n">
        <x:v>9</x:v>
      </x:c>
      <x:c r="D41" s="28" t="n">
        <x:v>0</x:v>
      </x:c>
      <x:c r="E41" s="28" t="n">
        <x:v>20260428</x:v>
      </x:c>
      <x:c r="F41" s="29" t="n">
        <x:v>0.9655172228813172</x:v>
      </x:c>
      <x:c r="G41" s="29" t="n">
        <x:v>0.7966101765632629</x:v>
      </x:c>
      <x:c r="H41" s="29" t="n">
        <x:v>0.7567567825317383</x:v>
      </x:c>
      <x:c r="I41" s="28" t="n">
        <x:v>65</x:v>
      </x:c>
      <x:c r="J41" s="29" t="n">
        <x:v>0.47</x:v>
      </x:c>
      <x:c r="K41" s="28" t="n">
        <x:v>218693</x:v>
      </x:c>
      <x:c r="L41" s="28" t="str">
        <x:v>strongest_method_for_dataset_then_grid_selected_by_val_only_no_test</x:v>
      </x:c>
      <x:c r="M41" s="28" t="str">
        <x:v>strongest_baseline_repeats_merged.csv</x:v>
      </x:c>
      <x:c r="N41" s="28" t="n">
        <x:v>41</x:v>
      </x:c>
      <x:c r="O41" s="28" t="str">
        <x:v>strong_baseline_results_cpu/strongest_baseline_repeats_merged.csv</x:v>
      </x:c>
      <x:c r="P41" s="28" t="str">
        <x:v>random_stratified_matching_fixed_split0_class_counts</x:v>
      </x:c>
    </x:row>
    <x:row r="42" ht="18" customHeight="1">
      <x:c r="A42" s="28" t="str">
        <x:v>texas</x:v>
      </x:c>
      <x:c r="B42" s="28" t="str">
        <x:v>graphsage</x:v>
      </x:c>
      <x:c r="C42" s="28" t="n">
        <x:v>0</x:v>
      </x:c>
      <x:c r="D42" s="28" t="n">
        <x:v>0</x:v>
      </x:c>
      <x:c r="E42" s="28" t="n">
        <x:v>20260419</x:v>
      </x:c>
      <x:c r="F42" s="29" t="n">
        <x:v>1</x:v>
      </x:c>
      <x:c r="G42" s="29" t="n">
        <x:v>0.8305084705352783</x:v>
      </x:c>
      <x:c r="H42" s="29" t="n">
        <x:v>0.7837837934494019</x:v>
      </x:c>
      <x:c r="I42" s="28" t="n">
        <x:v>120</x:v>
      </x:c>
      <x:c r="J42" s="29" t="n">
        <x:v>0.865</x:v>
      </x:c>
      <x:c r="K42" s="28" t="n">
        <x:v>218693</x:v>
      </x:c>
      <x:c r="L42" s="28" t="str">
        <x:v>strongest_method_for_dataset_then_grid_selected_by_val_only_no_test</x:v>
      </x:c>
      <x:c r="M42" s="28" t="str">
        <x:v>strongest_baseline_repeats_merged.csv</x:v>
      </x:c>
      <x:c r="N42" s="28" t="n">
        <x:v>42</x:v>
      </x:c>
      <x:c r="O42" s="28" t="str">
        <x:v>strong_baseline_results_cpu/strongest_baseline_repeats_merged.csv</x:v>
      </x:c>
      <x:c r="P42" s="28" t="str">
        <x:v>random_stratified_matching_fixed_split0_class_counts</x:v>
      </x:c>
    </x:row>
    <x:row r="43" ht="18" customHeight="1">
      <x:c r="A43" s="28" t="str">
        <x:v>texas</x:v>
      </x:c>
      <x:c r="B43" s="28" t="str">
        <x:v>graphsage</x:v>
      </x:c>
      <x:c r="C43" s="28" t="n">
        <x:v>1</x:v>
      </x:c>
      <x:c r="D43" s="28" t="n">
        <x:v>0</x:v>
      </x:c>
      <x:c r="E43" s="28" t="n">
        <x:v>20260420</x:v>
      </x:c>
      <x:c r="F43" s="29" t="n">
        <x:v>1</x:v>
      </x:c>
      <x:c r="G43" s="29" t="n">
        <x:v>0.8474576473236084</x:v>
      </x:c>
      <x:c r="H43" s="29" t="n">
        <x:v>0.8918918967247009</x:v>
      </x:c>
      <x:c r="I43" s="28" t="n">
        <x:v>115</x:v>
      </x:c>
      <x:c r="J43" s="29" t="n">
        <x:v>0.837</x:v>
      </x:c>
      <x:c r="K43" s="28" t="n">
        <x:v>218693</x:v>
      </x:c>
      <x:c r="L43" s="28" t="str">
        <x:v>strongest_method_for_dataset_then_grid_selected_by_val_only_no_test</x:v>
      </x:c>
      <x:c r="M43" s="28" t="str">
        <x:v>strongest_baseline_repeats_merged.csv</x:v>
      </x:c>
      <x:c r="N43" s="28" t="n">
        <x:v>43</x:v>
      </x:c>
      <x:c r="O43" s="28" t="str">
        <x:v>strong_baseline_results_cpu/strongest_baseline_repeats_merged.csv</x:v>
      </x:c>
      <x:c r="P43" s="28" t="str">
        <x:v>random_stratified_matching_fixed_split0_class_counts</x:v>
      </x:c>
    </x:row>
    <x:row r="44" ht="18" customHeight="1">
      <x:c r="A44" s="28" t="str">
        <x:v>texas</x:v>
      </x:c>
      <x:c r="B44" s="28" t="str">
        <x:v>graphsage</x:v>
      </x:c>
      <x:c r="C44" s="28" t="n">
        <x:v>2</x:v>
      </x:c>
      <x:c r="D44" s="28" t="n">
        <x:v>0</x:v>
      </x:c>
      <x:c r="E44" s="28" t="n">
        <x:v>20260421</x:v>
      </x:c>
      <x:c r="F44" s="29" t="n">
        <x:v>1</x:v>
      </x:c>
      <x:c r="G44" s="29" t="n">
        <x:v>0.8644067645072937</x:v>
      </x:c>
      <x:c r="H44" s="29" t="n">
        <x:v>0.8918918967247009</x:v>
      </x:c>
      <x:c r="I44" s="28" t="n">
        <x:v>110</x:v>
      </x:c>
      <x:c r="J44" s="29" t="n">
        <x:v>0.944</x:v>
      </x:c>
      <x:c r="K44" s="28" t="n">
        <x:v>218693</x:v>
      </x:c>
      <x:c r="L44" s="28" t="str">
        <x:v>strongest_method_for_dataset_then_grid_selected_by_val_only_no_test</x:v>
      </x:c>
      <x:c r="M44" s="28" t="str">
        <x:v>strongest_baseline_repeats_merged.csv</x:v>
      </x:c>
      <x:c r="N44" s="28" t="n">
        <x:v>44</x:v>
      </x:c>
      <x:c r="O44" s="28" t="str">
        <x:v>strong_baseline_results_cpu/strongest_baseline_repeats_merged.csv</x:v>
      </x:c>
      <x:c r="P44" s="28" t="str">
        <x:v>random_stratified_matching_fixed_split0_class_counts</x:v>
      </x:c>
    </x:row>
    <x:row r="45" ht="18" customHeight="1">
      <x:c r="A45" s="28" t="str">
        <x:v>texas</x:v>
      </x:c>
      <x:c r="B45" s="28" t="str">
        <x:v>graphsage</x:v>
      </x:c>
      <x:c r="C45" s="28" t="n">
        <x:v>3</x:v>
      </x:c>
      <x:c r="D45" s="28" t="n">
        <x:v>0</x:v>
      </x:c>
      <x:c r="E45" s="28" t="n">
        <x:v>20260422</x:v>
      </x:c>
      <x:c r="F45" s="29" t="n">
        <x:v>1</x:v>
      </x:c>
      <x:c r="G45" s="29" t="n">
        <x:v>0.8305084705352783</x:v>
      </x:c>
      <x:c r="H45" s="29" t="n">
        <x:v>0.837837815284729</x:v>
      </x:c>
      <x:c r="I45" s="28" t="n">
        <x:v>140</x:v>
      </x:c>
      <x:c r="J45" s="29" t="n">
        <x:v>0.788</x:v>
      </x:c>
      <x:c r="K45" s="28" t="n">
        <x:v>218693</x:v>
      </x:c>
      <x:c r="L45" s="28" t="str">
        <x:v>strongest_method_for_dataset_then_grid_selected_by_val_only_no_test</x:v>
      </x:c>
      <x:c r="M45" s="28" t="str">
        <x:v>strongest_baseline_repeats_merged.csv</x:v>
      </x:c>
      <x:c r="N45" s="28" t="n">
        <x:v>45</x:v>
      </x:c>
      <x:c r="O45" s="28" t="str">
        <x:v>strong_baseline_results_cpu/strongest_baseline_repeats_merged.csv</x:v>
      </x:c>
      <x:c r="P45" s="28" t="str">
        <x:v>random_stratified_matching_fixed_split0_class_counts</x:v>
      </x:c>
    </x:row>
    <x:row r="46" ht="18" customHeight="1">
      <x:c r="A46" s="28" t="str">
        <x:v>texas</x:v>
      </x:c>
      <x:c r="B46" s="28" t="str">
        <x:v>graphsage</x:v>
      </x:c>
      <x:c r="C46" s="28" t="n">
        <x:v>4</x:v>
      </x:c>
      <x:c r="D46" s="28" t="n">
        <x:v>0</x:v>
      </x:c>
      <x:c r="E46" s="28" t="n">
        <x:v>20260423</x:v>
      </x:c>
      <x:c r="F46" s="29" t="n">
        <x:v>0.9655172228813172</x:v>
      </x:c>
      <x:c r="G46" s="29" t="n">
        <x:v>0.8305084705352783</x:v>
      </x:c>
      <x:c r="H46" s="29" t="n">
        <x:v>0.7567567825317383</x:v>
      </x:c>
      <x:c r="I46" s="28" t="n">
        <x:v>60</x:v>
      </x:c>
      <x:c r="J46" s="29" t="n">
        <x:v>0.615</x:v>
      </x:c>
      <x:c r="K46" s="28" t="n">
        <x:v>218693</x:v>
      </x:c>
      <x:c r="L46" s="28" t="str">
        <x:v>strongest_method_for_dataset_then_grid_selected_by_val_only_no_test</x:v>
      </x:c>
      <x:c r="M46" s="28" t="str">
        <x:v>strongest_baseline_repeats_merged.csv</x:v>
      </x:c>
      <x:c r="N46" s="28" t="n">
        <x:v>46</x:v>
      </x:c>
      <x:c r="O46" s="28" t="str">
        <x:v>strong_baseline_results_cpu/strongest_baseline_repeats_merged.csv</x:v>
      </x:c>
      <x:c r="P46" s="28" t="str">
        <x:v>random_stratified_matching_fixed_split0_class_counts</x:v>
      </x:c>
    </x:row>
    <x:row r="47" ht="18" customHeight="1">
      <x:c r="A47" s="28" t="str">
        <x:v>texas</x:v>
      </x:c>
      <x:c r="B47" s="28" t="str">
        <x:v>graphsage</x:v>
      </x:c>
      <x:c r="C47" s="28" t="n">
        <x:v>5</x:v>
      </x:c>
      <x:c r="D47" s="28" t="n">
        <x:v>0</x:v>
      </x:c>
      <x:c r="E47" s="28" t="n">
        <x:v>20260424</x:v>
      </x:c>
      <x:c r="F47" s="29" t="n">
        <x:v>1</x:v>
      </x:c>
      <x:c r="G47" s="29" t="n">
        <x:v>0.8474576473236084</x:v>
      </x:c>
      <x:c r="H47" s="29" t="n">
        <x:v>0.837837815284729</x:v>
      </x:c>
      <x:c r="I47" s="28" t="n">
        <x:v>110</x:v>
      </x:c>
      <x:c r="J47" s="29" t="n">
        <x:v>0.85</x:v>
      </x:c>
      <x:c r="K47" s="28" t="n">
        <x:v>218693</x:v>
      </x:c>
      <x:c r="L47" s="28" t="str">
        <x:v>strongest_method_for_dataset_then_grid_selected_by_val_only_no_test</x:v>
      </x:c>
      <x:c r="M47" s="28" t="str">
        <x:v>strongest_baseline_repeats_merged.csv</x:v>
      </x:c>
      <x:c r="N47" s="28" t="n">
        <x:v>47</x:v>
      </x:c>
      <x:c r="O47" s="28" t="str">
        <x:v>strong_baseline_results_cpu/strongest_baseline_repeats_merged.csv</x:v>
      </x:c>
      <x:c r="P47" s="28" t="str">
        <x:v>random_stratified_matching_fixed_split0_class_counts</x:v>
      </x:c>
    </x:row>
    <x:row r="48" ht="18" customHeight="1">
      <x:c r="A48" s="28" t="str">
        <x:v>texas</x:v>
      </x:c>
      <x:c r="B48" s="28" t="str">
        <x:v>graphsage</x:v>
      </x:c>
      <x:c r="C48" s="28" t="n">
        <x:v>6</x:v>
      </x:c>
      <x:c r="D48" s="28" t="n">
        <x:v>0</x:v>
      </x:c>
      <x:c r="E48" s="28" t="n">
        <x:v>20260425</x:v>
      </x:c>
      <x:c r="F48" s="29" t="n">
        <x:v>0.931034505367279</x:v>
      </x:c>
      <x:c r="G48" s="29" t="n">
        <x:v>0.7966101765632629</x:v>
      </x:c>
      <x:c r="H48" s="29" t="n">
        <x:v>0.8108108043670654</x:v>
      </x:c>
      <x:c r="I48" s="28" t="n">
        <x:v>55</x:v>
      </x:c>
      <x:c r="J48" s="29" t="n">
        <x:v>0.689</x:v>
      </x:c>
      <x:c r="K48" s="28" t="n">
        <x:v>218693</x:v>
      </x:c>
      <x:c r="L48" s="28" t="str">
        <x:v>strongest_method_for_dataset_then_grid_selected_by_val_only_no_test</x:v>
      </x:c>
      <x:c r="M48" s="28" t="str">
        <x:v>strongest_baseline_repeats_merged.csv</x:v>
      </x:c>
      <x:c r="N48" s="28" t="n">
        <x:v>48</x:v>
      </x:c>
      <x:c r="O48" s="28" t="str">
        <x:v>strong_baseline_results_cpu/strongest_baseline_repeats_merged.csv</x:v>
      </x:c>
      <x:c r="P48" s="28" t="str">
        <x:v>random_stratified_matching_fixed_split0_class_counts</x:v>
      </x:c>
    </x:row>
    <x:row r="49" ht="18" customHeight="1">
      <x:c r="A49" s="28" t="str">
        <x:v>texas</x:v>
      </x:c>
      <x:c r="B49" s="28" t="str">
        <x:v>graphsage</x:v>
      </x:c>
      <x:c r="C49" s="28" t="n">
        <x:v>7</x:v>
      </x:c>
      <x:c r="D49" s="28" t="n">
        <x:v>0</x:v>
      </x:c>
      <x:c r="E49" s="28" t="n">
        <x:v>20260426</x:v>
      </x:c>
      <x:c r="F49" s="29" t="n">
        <x:v>0.977011501789093</x:v>
      </x:c>
      <x:c r="G49" s="29" t="n">
        <x:v>0.8135592937469482</x:v>
      </x:c>
      <x:c r="H49" s="29" t="n">
        <x:v>0.8648648858070374</x:v>
      </x:c>
      <x:c r="I49" s="28" t="n">
        <x:v>80</x:v>
      </x:c>
      <x:c r="J49" s="29" t="n">
        <x:v>0.681</x:v>
      </x:c>
      <x:c r="K49" s="28" t="n">
        <x:v>218693</x:v>
      </x:c>
      <x:c r="L49" s="28" t="str">
        <x:v>strongest_method_for_dataset_then_grid_selected_by_val_only_no_test</x:v>
      </x:c>
      <x:c r="M49" s="28" t="str">
        <x:v>strongest_baseline_repeats_merged.csv</x:v>
      </x:c>
      <x:c r="N49" s="28" t="n">
        <x:v>49</x:v>
      </x:c>
      <x:c r="O49" s="28" t="str">
        <x:v>strong_baseline_results_cpu/strongest_baseline_repeats_merged.csv</x:v>
      </x:c>
      <x:c r="P49" s="28" t="str">
        <x:v>random_stratified_matching_fixed_split0_class_counts</x:v>
      </x:c>
    </x:row>
    <x:row r="50" ht="18" customHeight="1">
      <x:c r="A50" s="28" t="str">
        <x:v>texas</x:v>
      </x:c>
      <x:c r="B50" s="28" t="str">
        <x:v>graphsage</x:v>
      </x:c>
      <x:c r="C50" s="28" t="n">
        <x:v>8</x:v>
      </x:c>
      <x:c r="D50" s="28" t="n">
        <x:v>0</x:v>
      </x:c>
      <x:c r="E50" s="28" t="n">
        <x:v>20260427</x:v>
      </x:c>
      <x:c r="F50" s="29" t="n">
        <x:v>1</x:v>
      </x:c>
      <x:c r="G50" s="29" t="n">
        <x:v>0.7966101765632629</x:v>
      </x:c>
      <x:c r="H50" s="29" t="n">
        <x:v>0.8918918967247009</x:v>
      </x:c>
      <x:c r="I50" s="28" t="n">
        <x:v>125</x:v>
      </x:c>
      <x:c r="J50" s="29" t="n">
        <x:v>0.836</x:v>
      </x:c>
      <x:c r="K50" s="28" t="n">
        <x:v>218693</x:v>
      </x:c>
      <x:c r="L50" s="28" t="str">
        <x:v>strongest_method_for_dataset_then_grid_selected_by_val_only_no_test</x:v>
      </x:c>
      <x:c r="M50" s="28" t="str">
        <x:v>strongest_baseline_repeats_merged.csv</x:v>
      </x:c>
      <x:c r="N50" s="28" t="n">
        <x:v>50</x:v>
      </x:c>
      <x:c r="O50" s="28" t="str">
        <x:v>strong_baseline_results_cpu/strongest_baseline_repeats_merged.csv</x:v>
      </x:c>
      <x:c r="P50" s="28" t="str">
        <x:v>random_stratified_matching_fixed_split0_class_counts</x:v>
      </x:c>
    </x:row>
    <x:row r="51" ht="18" customHeight="1">
      <x:c r="A51" s="28" t="str">
        <x:v>texas</x:v>
      </x:c>
      <x:c r="B51" s="28" t="str">
        <x:v>graphsage</x:v>
      </x:c>
      <x:c r="C51" s="28" t="n">
        <x:v>9</x:v>
      </x:c>
      <x:c r="D51" s="28" t="n">
        <x:v>0</x:v>
      </x:c>
      <x:c r="E51" s="28" t="n">
        <x:v>20260428</x:v>
      </x:c>
      <x:c r="F51" s="29" t="n">
        <x:v>1</x:v>
      </x:c>
      <x:c r="G51" s="29" t="n">
        <x:v>0.9152542352676392</x:v>
      </x:c>
      <x:c r="H51" s="29" t="n">
        <x:v>0.8648648858070374</x:v>
      </x:c>
      <x:c r="I51" s="28" t="n">
        <x:v>115</x:v>
      </x:c>
      <x:c r="J51" s="29" t="n">
        <x:v>0.756</x:v>
      </x:c>
      <x:c r="K51" s="28" t="n">
        <x:v>218693</x:v>
      </x:c>
      <x:c r="L51" s="28" t="str">
        <x:v>strongest_method_for_dataset_then_grid_selected_by_val_only_no_test</x:v>
      </x:c>
      <x:c r="M51" s="28" t="str">
        <x:v>strongest_baseline_repeats_merged.csv</x:v>
      </x:c>
      <x:c r="N51" s="28" t="n">
        <x:v>51</x:v>
      </x:c>
      <x:c r="O51" s="28" t="str">
        <x:v>strong_baseline_results_cpu/strongest_baseline_repeats_merged.csv</x:v>
      </x:c>
      <x:c r="P51" s="28" t="str">
        <x:v>random_stratified_matching_fixed_split0_class_counts</x:v>
      </x:c>
    </x:row>
    <x:row r="52" ht="18" customHeight="1">
      <x:c r="A52" s="28" t="str">
        <x:v>wisconsin</x:v>
      </x:c>
      <x:c r="B52" s="28" t="str">
        <x:v>graphsage</x:v>
      </x:c>
      <x:c r="C52" s="28" t="n">
        <x:v>0</x:v>
      </x:c>
      <x:c r="D52" s="28" t="n">
        <x:v>0</x:v>
      </x:c>
      <x:c r="E52" s="28" t="n">
        <x:v>20260419</x:v>
      </x:c>
      <x:c r="F52" s="29" t="n">
        <x:v>0.9583333134651184</x:v>
      </x:c>
      <x:c r="G52" s="29" t="n">
        <x:v>0.824999988079071</x:v>
      </x:c>
      <x:c r="H52" s="29" t="n">
        <x:v>0.8235294222831726</x:v>
      </x:c>
      <x:c r="I52" s="28" t="n">
        <x:v>65</x:v>
      </x:c>
      <x:c r="J52" s="29" t="n">
        <x:v>0.736</x:v>
      </x:c>
      <x:c r="K52" s="28" t="n">
        <x:v>218693</x:v>
      </x:c>
      <x:c r="L52" s="28" t="str">
        <x:v>strongest_method_for_dataset_then_grid_selected_by_val_only_no_test</x:v>
      </x:c>
      <x:c r="M52" s="28" t="str">
        <x:v>strongest_baseline_repeats_merged.csv</x:v>
      </x:c>
      <x:c r="N52" s="28" t="n">
        <x:v>52</x:v>
      </x:c>
      <x:c r="O52" s="28" t="str">
        <x:v>strong_baseline_results_cpu/strongest_baseline_repeats_merged.csv</x:v>
      </x:c>
      <x:c r="P52" s="28" t="str">
        <x:v>random_stratified_matching_fixed_split0_class_counts</x:v>
      </x:c>
    </x:row>
    <x:row r="53" ht="18" customHeight="1">
      <x:c r="A53" s="28" t="str">
        <x:v>wisconsin</x:v>
      </x:c>
      <x:c r="B53" s="28" t="str">
        <x:v>graphsage</x:v>
      </x:c>
      <x:c r="C53" s="28" t="n">
        <x:v>1</x:v>
      </x:c>
      <x:c r="D53" s="28" t="n">
        <x:v>0</x:v>
      </x:c>
      <x:c r="E53" s="28" t="n">
        <x:v>20260420</x:v>
      </x:c>
      <x:c r="F53" s="29" t="n">
        <x:v>0.9583333134651184</x:v>
      </x:c>
      <x:c r="G53" s="29" t="n">
        <x:v>0.8500000238418579</x:v>
      </x:c>
      <x:c r="H53" s="29" t="n">
        <x:v>0.8627451062202454</x:v>
      </x:c>
      <x:c r="I53" s="28" t="n">
        <x:v>75</x:v>
      </x:c>
      <x:c r="J53" s="29" t="n">
        <x:v>0.819</x:v>
      </x:c>
      <x:c r="K53" s="28" t="n">
        <x:v>218693</x:v>
      </x:c>
      <x:c r="L53" s="28" t="str">
        <x:v>strongest_method_for_dataset_then_grid_selected_by_val_only_no_test</x:v>
      </x:c>
      <x:c r="M53" s="28" t="str">
        <x:v>strongest_baseline_repeats_merged.csv</x:v>
      </x:c>
      <x:c r="N53" s="28" t="n">
        <x:v>53</x:v>
      </x:c>
      <x:c r="O53" s="28" t="str">
        <x:v>strong_baseline_results_cpu/strongest_baseline_repeats_merged.csv</x:v>
      </x:c>
      <x:c r="P53" s="28" t="str">
        <x:v>random_stratified_matching_fixed_split0_class_counts</x:v>
      </x:c>
    </x:row>
    <x:row r="54" ht="18" customHeight="1">
      <x:c r="A54" s="28" t="str">
        <x:v>wisconsin</x:v>
      </x:c>
      <x:c r="B54" s="28" t="str">
        <x:v>graphsage</x:v>
      </x:c>
      <x:c r="C54" s="28" t="n">
        <x:v>2</x:v>
      </x:c>
      <x:c r="D54" s="28" t="n">
        <x:v>0</x:v>
      </x:c>
      <x:c r="E54" s="28" t="n">
        <x:v>20260421</x:v>
      </x:c>
      <x:c r="F54" s="29" t="n">
        <x:v>0.9583333134651184</x:v>
      </x:c>
      <x:c r="G54" s="29" t="n">
        <x:v>0.800000011920929</x:v>
      </x:c>
      <x:c r="H54" s="29" t="n">
        <x:v>0.8823529481887817</x:v>
      </x:c>
      <x:c r="I54" s="28" t="n">
        <x:v>75</x:v>
      </x:c>
      <x:c r="J54" s="29" t="n">
        <x:v>0.969</x:v>
      </x:c>
      <x:c r="K54" s="28" t="n">
        <x:v>218693</x:v>
      </x:c>
      <x:c r="L54" s="28" t="str">
        <x:v>strongest_method_for_dataset_then_grid_selected_by_val_only_no_test</x:v>
      </x:c>
      <x:c r="M54" s="28" t="str">
        <x:v>strongest_baseline_repeats_merged.csv</x:v>
      </x:c>
      <x:c r="N54" s="28" t="n">
        <x:v>54</x:v>
      </x:c>
      <x:c r="O54" s="28" t="str">
        <x:v>strong_baseline_results_cpu/strongest_baseline_repeats_merged.csv</x:v>
      </x:c>
      <x:c r="P54" s="28" t="str">
        <x:v>random_stratified_matching_fixed_split0_class_counts</x:v>
      </x:c>
    </x:row>
    <x:row r="55" ht="18" customHeight="1">
      <x:c r="A55" s="28" t="str">
        <x:v>wisconsin</x:v>
      </x:c>
      <x:c r="B55" s="28" t="str">
        <x:v>graphsage</x:v>
      </x:c>
      <x:c r="C55" s="28" t="n">
        <x:v>3</x:v>
      </x:c>
      <x:c r="D55" s="28" t="n">
        <x:v>0</x:v>
      </x:c>
      <x:c r="E55" s="28" t="n">
        <x:v>20260422</x:v>
      </x:c>
      <x:c r="F55" s="29" t="n">
        <x:v>0.9916666746139526</x:v>
      </x:c>
      <x:c r="G55" s="29" t="n">
        <x:v>0.8500000238418579</x:v>
      </x:c>
      <x:c r="H55" s="29" t="n">
        <x:v>0.8823529481887817</x:v>
      </x:c>
      <x:c r="I55" s="28" t="n">
        <x:v>180</x:v>
      </x:c>
      <x:c r="J55" s="29" t="n">
        <x:v>1.213</x:v>
      </x:c>
      <x:c r="K55" s="28" t="n">
        <x:v>218693</x:v>
      </x:c>
      <x:c r="L55" s="28" t="str">
        <x:v>strongest_method_for_dataset_then_grid_selected_by_val_only_no_test</x:v>
      </x:c>
      <x:c r="M55" s="28" t="str">
        <x:v>strongest_baseline_repeats_merged.csv</x:v>
      </x:c>
      <x:c r="N55" s="28" t="n">
        <x:v>55</x:v>
      </x:c>
      <x:c r="O55" s="28" t="str">
        <x:v>strong_baseline_results_cpu/strongest_baseline_repeats_merged.csv</x:v>
      </x:c>
      <x:c r="P55" s="28" t="str">
        <x:v>random_stratified_matching_fixed_split0_class_counts</x:v>
      </x:c>
    </x:row>
    <x:row r="56" ht="18" customHeight="1">
      <x:c r="A56" s="28" t="str">
        <x:v>wisconsin</x:v>
      </x:c>
      <x:c r="B56" s="28" t="str">
        <x:v>graphsage</x:v>
      </x:c>
      <x:c r="C56" s="28" t="n">
        <x:v>4</x:v>
      </x:c>
      <x:c r="D56" s="28" t="n">
        <x:v>0</x:v>
      </x:c>
      <x:c r="E56" s="28" t="n">
        <x:v>20260423</x:v>
      </x:c>
      <x:c r="F56" s="29" t="n">
        <x:v>0.9583333134651184</x:v>
      </x:c>
      <x:c r="G56" s="29" t="n">
        <x:v>0.824999988079071</x:v>
      </x:c>
      <x:c r="H56" s="29" t="n">
        <x:v>0.7843137383460999</x:v>
      </x:c>
      <x:c r="I56" s="28" t="n">
        <x:v>85</x:v>
      </x:c>
      <x:c r="J56" s="29" t="n">
        <x:v>0.761</x:v>
      </x:c>
      <x:c r="K56" s="28" t="n">
        <x:v>218693</x:v>
      </x:c>
      <x:c r="L56" s="28" t="str">
        <x:v>strongest_method_for_dataset_then_grid_selected_by_val_only_no_test</x:v>
      </x:c>
      <x:c r="M56" s="28" t="str">
        <x:v>strongest_baseline_repeats_merged.csv</x:v>
      </x:c>
      <x:c r="N56" s="28" t="n">
        <x:v>56</x:v>
      </x:c>
      <x:c r="O56" s="28" t="str">
        <x:v>strong_baseline_results_cpu/strongest_baseline_repeats_merged.csv</x:v>
      </x:c>
      <x:c r="P56" s="28" t="str">
        <x:v>random_stratified_matching_fixed_split0_class_counts</x:v>
      </x:c>
    </x:row>
    <x:row r="57" ht="18" customHeight="1">
      <x:c r="A57" s="28" t="str">
        <x:v>wisconsin</x:v>
      </x:c>
      <x:c r="B57" s="28" t="str">
        <x:v>graphsage</x:v>
      </x:c>
      <x:c r="C57" s="28" t="n">
        <x:v>5</x:v>
      </x:c>
      <x:c r="D57" s="28" t="n">
        <x:v>0</x:v>
      </x:c>
      <x:c r="E57" s="28" t="n">
        <x:v>20260424</x:v>
      </x:c>
      <x:c r="F57" s="29" t="n">
        <x:v>0.9833333492279052</x:v>
      </x:c>
      <x:c r="G57" s="29" t="n">
        <x:v>0.800000011920929</x:v>
      </x:c>
      <x:c r="H57" s="29" t="n">
        <x:v>0.8039215803146362</x:v>
      </x:c>
      <x:c r="I57" s="28" t="n">
        <x:v>95</x:v>
      </x:c>
      <x:c r="J57" s="29" t="n">
        <x:v>0.851</x:v>
      </x:c>
      <x:c r="K57" s="28" t="n">
        <x:v>218693</x:v>
      </x:c>
      <x:c r="L57" s="28" t="str">
        <x:v>strongest_method_for_dataset_then_grid_selected_by_val_only_no_test</x:v>
      </x:c>
      <x:c r="M57" s="28" t="str">
        <x:v>strongest_baseline_repeats_merged.csv</x:v>
      </x:c>
      <x:c r="N57" s="28" t="n">
        <x:v>57</x:v>
      </x:c>
      <x:c r="O57" s="28" t="str">
        <x:v>strong_baseline_results_cpu/strongest_baseline_repeats_merged.csv</x:v>
      </x:c>
      <x:c r="P57" s="28" t="str">
        <x:v>random_stratified_matching_fixed_split0_class_counts</x:v>
      </x:c>
    </x:row>
    <x:row r="58" ht="18" customHeight="1">
      <x:c r="A58" s="28" t="str">
        <x:v>wisconsin</x:v>
      </x:c>
      <x:c r="B58" s="28" t="str">
        <x:v>graphsage</x:v>
      </x:c>
      <x:c r="C58" s="28" t="n">
        <x:v>6</x:v>
      </x:c>
      <x:c r="D58" s="28" t="n">
        <x:v>0</x:v>
      </x:c>
      <x:c r="E58" s="28" t="n">
        <x:v>20260425</x:v>
      </x:c>
      <x:c r="F58" s="29" t="n">
        <x:v>1</x:v>
      </x:c>
      <x:c r="G58" s="29" t="n">
        <x:v>0.824999988079071</x:v>
      </x:c>
      <x:c r="H58" s="29" t="n">
        <x:v>0.7843137383460999</x:v>
      </x:c>
      <x:c r="I58" s="28" t="n">
        <x:v>155</x:v>
      </x:c>
      <x:c r="J58" s="29" t="n">
        <x:v>1.218</x:v>
      </x:c>
      <x:c r="K58" s="28" t="n">
        <x:v>218693</x:v>
      </x:c>
      <x:c r="L58" s="28" t="str">
        <x:v>strongest_method_for_dataset_then_grid_selected_by_val_only_no_test</x:v>
      </x:c>
      <x:c r="M58" s="28" t="str">
        <x:v>strongest_baseline_repeats_merged.csv</x:v>
      </x:c>
      <x:c r="N58" s="28" t="n">
        <x:v>58</x:v>
      </x:c>
      <x:c r="O58" s="28" t="str">
        <x:v>strong_baseline_results_cpu/strongest_baseline_repeats_merged.csv</x:v>
      </x:c>
      <x:c r="P58" s="28" t="str">
        <x:v>random_stratified_matching_fixed_split0_class_counts</x:v>
      </x:c>
    </x:row>
    <x:row r="59" ht="18" customHeight="1">
      <x:c r="A59" s="28" t="str">
        <x:v>wisconsin</x:v>
      </x:c>
      <x:c r="B59" s="28" t="str">
        <x:v>graphsage</x:v>
      </x:c>
      <x:c r="C59" s="28" t="n">
        <x:v>7</x:v>
      </x:c>
      <x:c r="D59" s="28" t="n">
        <x:v>0</x:v>
      </x:c>
      <x:c r="E59" s="28" t="n">
        <x:v>20260426</x:v>
      </x:c>
      <x:c r="F59" s="29" t="n">
        <x:v>0.9416666626930236</x:v>
      </x:c>
      <x:c r="G59" s="29" t="n">
        <x:v>0.824999988079071</x:v>
      </x:c>
      <x:c r="H59" s="29" t="n">
        <x:v>0.7450980544090271</x:v>
      </x:c>
      <x:c r="I59" s="28" t="n">
        <x:v>70</x:v>
      </x:c>
      <x:c r="J59" s="29" t="n">
        <x:v>0.685</x:v>
      </x:c>
      <x:c r="K59" s="28" t="n">
        <x:v>218693</x:v>
      </x:c>
      <x:c r="L59" s="28" t="str">
        <x:v>strongest_method_for_dataset_then_grid_selected_by_val_only_no_test</x:v>
      </x:c>
      <x:c r="M59" s="28" t="str">
        <x:v>strongest_baseline_repeats_merged.csv</x:v>
      </x:c>
      <x:c r="N59" s="28" t="n">
        <x:v>59</x:v>
      </x:c>
      <x:c r="O59" s="28" t="str">
        <x:v>strong_baseline_results_cpu/strongest_baseline_repeats_merged.csv</x:v>
      </x:c>
      <x:c r="P59" s="28" t="str">
        <x:v>random_stratified_matching_fixed_split0_class_counts</x:v>
      </x:c>
    </x:row>
    <x:row r="60" ht="18" customHeight="1">
      <x:c r="A60" s="28" t="str">
        <x:v>wisconsin</x:v>
      </x:c>
      <x:c r="B60" s="28" t="str">
        <x:v>graphsage</x:v>
      </x:c>
      <x:c r="C60" s="28" t="n">
        <x:v>8</x:v>
      </x:c>
      <x:c r="D60" s="28" t="n">
        <x:v>0</x:v>
      </x:c>
      <x:c r="E60" s="28" t="n">
        <x:v>20260427</x:v>
      </x:c>
      <x:c r="F60" s="29" t="n">
        <x:v>0.9916666746139526</x:v>
      </x:c>
      <x:c r="G60" s="29" t="n">
        <x:v>0.8500000238418579</x:v>
      </x:c>
      <x:c r="H60" s="29" t="n">
        <x:v>0.901960790157318</x:v>
      </x:c>
      <x:c r="I60" s="28" t="n">
        <x:v>90</x:v>
      </x:c>
      <x:c r="J60" s="29" t="n">
        <x:v>0.809</x:v>
      </x:c>
      <x:c r="K60" s="28" t="n">
        <x:v>218693</x:v>
      </x:c>
      <x:c r="L60" s="28" t="str">
        <x:v>strongest_method_for_dataset_then_grid_selected_by_val_only_no_test</x:v>
      </x:c>
      <x:c r="M60" s="28" t="str">
        <x:v>strongest_baseline_repeats_merged.csv</x:v>
      </x:c>
      <x:c r="N60" s="28" t="n">
        <x:v>60</x:v>
      </x:c>
      <x:c r="O60" s="28" t="str">
        <x:v>strong_baseline_results_cpu/strongest_baseline_repeats_merged.csv</x:v>
      </x:c>
      <x:c r="P60" s="28" t="str">
        <x:v>random_stratified_matching_fixed_split0_class_counts</x:v>
      </x:c>
    </x:row>
    <x:row r="61" ht="18" customHeight="1">
      <x:c r="A61" s="28" t="str">
        <x:v>wisconsin</x:v>
      </x:c>
      <x:c r="B61" s="28" t="str">
        <x:v>graphsage</x:v>
      </x:c>
      <x:c r="C61" s="28" t="n">
        <x:v>9</x:v>
      </x:c>
      <x:c r="D61" s="28" t="n">
        <x:v>0</x:v>
      </x:c>
      <x:c r="E61" s="28" t="n">
        <x:v>20260428</x:v>
      </x:c>
      <x:c r="F61" s="29" t="n">
        <x:v>0.9666666388511658</x:v>
      </x:c>
      <x:c r="G61" s="29" t="n">
        <x:v>0.800000011920929</x:v>
      </x:c>
      <x:c r="H61" s="29" t="n">
        <x:v>0.8627451062202454</x:v>
      </x:c>
      <x:c r="I61" s="28" t="n">
        <x:v>95</x:v>
      </x:c>
      <x:c r="J61" s="29" t="n">
        <x:v>0.717</x:v>
      </x:c>
      <x:c r="K61" s="28" t="n">
        <x:v>218693</x:v>
      </x:c>
      <x:c r="L61" s="28" t="str">
        <x:v>strongest_method_for_dataset_then_grid_selected_by_val_only_no_test</x:v>
      </x:c>
      <x:c r="M61" s="28" t="str">
        <x:v>strongest_baseline_repeats_merged.csv</x:v>
      </x:c>
      <x:c r="N61" s="28" t="n">
        <x:v>61</x:v>
      </x:c>
      <x:c r="O61" s="28" t="str">
        <x:v>strong_baseline_results_cpu/strongest_baseline_repeats_merged.csv</x:v>
      </x:c>
      <x:c r="P61" s="28" t="str">
        <x:v>random_stratified_matching_fixed_split0_class_counts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2" width="18" customWidth="1"/>
    <x:col min="3" max="3" width="8" customWidth="1"/>
    <x:col min="4" max="4" width="15" customWidth="1"/>
    <x:col min="5" max="5" width="14" customWidth="1"/>
    <x:col min="6" max="6" width="15" customWidth="1"/>
    <x:col min="7" max="7" width="14" customWidth="1"/>
    <x:col min="8" max="8" width="16" customWidth="1"/>
    <x:col min="9" max="9" width="14" customWidth="1"/>
    <x:col min="10" max="10" width="22" customWidth="1"/>
  </x:cols>
  <x:sheetData>
    <x:row r="1" ht="18" customHeight="1">
      <x:c r="A1" s="26" t="s">
        <x:v>7</x:v>
      </x:c>
      <x:c r="B1" s="26" t="s">
        <x:v>57</x:v>
      </x:c>
      <x:c r="C1" s="26" t="s">
        <x:v>5</x:v>
      </x:c>
      <x:c r="D1" s="26" t="s">
        <x:v>61</x:v>
      </x:c>
      <x:c r="E1" s="26" t="s">
        <x:v>62</x:v>
      </x:c>
      <x:c r="F1" s="26" t="s">
        <x:v>63</x:v>
      </x:c>
      <x:c r="G1" s="26" t="s">
        <x:v>64</x:v>
      </x:c>
      <x:c r="H1" s="26" t="s">
        <x:v>65</x:v>
      </x:c>
      <x:c r="I1" s="26" t="s">
        <x:v>66</x:v>
      </x:c>
      <x:c r="J1" s="26" t="s">
        <x:v>67</x:v>
      </x:c>
    </x:row>
    <x:row r="2" ht="18" customHeight="1">
      <x:c r="A2" s="21" t="str">
        <x:v>amazon-computers</x:v>
      </x:c>
      <x:c r="B2" s="21" t="str">
        <x:v>GraphSAGE</x:v>
      </x:c>
      <x:c r="C2" s="21" t="n">
        <x:v>10</x:v>
      </x:c>
      <x:c r="D2" s="22" t="n">
        <x:v>96.10000133514404</x:v>
      </x:c>
      <x:c r="E2" s="22" t="n">
        <x:v>2.492210472583433</x:v>
      </x:c>
      <x:c r="F2" s="22" t="n">
        <x:v>87.03333377838135</x:v>
      </x:c>
      <x:c r="G2" s="22" t="n">
        <x:v>2.6031793344088316</x:v>
      </x:c>
      <x:c r="H2" s="22" t="n">
        <x:v>76.83972239494324</x:v>
      </x:c>
      <x:c r="I2" s="22" t="n">
        <x:v>2.2751516099909304</x:v>
      </x:c>
      <x:c r="J2" s="22" t="str">
        <x:v>YES</x:v>
      </x:c>
    </x:row>
    <x:row r="3" ht="18" customHeight="1">
      <x:c r="A3" s="21" t="str">
        <x:v>amazon-photo</x:v>
      </x:c>
      <x:c r="B3" s="21" t="str">
        <x:v>GraphSAGE</x:v>
      </x:c>
      <x:c r="C3" s="21" t="n">
        <x:v>10</x:v>
      </x:c>
      <x:c r="D3" s="22" t="n">
        <x:v>98.43749940395355</x:v>
      </x:c>
      <x:c r="E3" s="22" t="n">
        <x:v>1.2926743061045294</x:v>
      </x:c>
      <x:c r="F3" s="22" t="n">
        <x:v>91.16666734218597</x:v>
      </x:c>
      <x:c r="G3" s="22" t="n">
        <x:v>1.329277126153531</x:v>
      </x:c>
      <x:c r="H3" s="22" t="n">
        <x:v>88.36965441703796</x:v>
      </x:c>
      <x:c r="I3" s="22" t="n">
        <x:v>1.8645119150715639</x:v>
      </x:c>
      <x:c r="J3" s="22" t="str">
        <x:v>YES</x:v>
      </x:c>
    </x:row>
    <x:row r="4" ht="18" customHeight="1">
      <x:c r="A4" s="21" t="str">
        <x:v>chameleon</x:v>
      </x:c>
      <x:c r="B4" s="21" t="str">
        <x:v>LINKX</x:v>
      </x:c>
      <x:c r="C4" s="21" t="n">
        <x:v>10</x:v>
      </x:c>
      <x:c r="D4" s="22" t="n">
        <x:v>99.22161102294922</x:v>
      </x:c>
      <x:c r="E4" s="22" t="n">
        <x:v>0.8021167391972613</x:v>
      </x:c>
      <x:c r="F4" s="22" t="n">
        <x:v>71.93415522575378</x:v>
      </x:c>
      <x:c r="G4" s="22" t="n">
        <x:v>1.7317535890375533</x:v>
      </x:c>
      <x:c r="H4" s="22" t="n">
        <x:v>71.55701696872711</x:v>
      </x:c>
      <x:c r="I4" s="22" t="n">
        <x:v>1.4946994669949576</x:v>
      </x:c>
      <x:c r="J4" s="22" t="str">
        <x:v>YES</x:v>
      </x:c>
    </x:row>
    <x:row r="5" ht="18" customHeight="1">
      <x:c r="A5" s="21" t="str">
        <x:v>cornell</x:v>
      </x:c>
      <x:c r="B5" s="21" t="str">
        <x:v>GraphSAGE</x:v>
      </x:c>
      <x:c r="C5" s="21" t="n">
        <x:v>10</x:v>
      </x:c>
      <x:c r="D5" s="22" t="n">
        <x:v>98.04597675800323</x:v>
      </x:c>
      <x:c r="E5" s="22" t="n">
        <x:v>2.7119291910035286</x:v>
      </x:c>
      <x:c r="F5" s="22" t="n">
        <x:v>78.30508470535278</x:v>
      </x:c>
      <x:c r="G5" s="22" t="n">
        <x:v>4.976884906513083</x:v>
      </x:c>
      <x:c r="H5" s="22" t="n">
        <x:v>72.43243217468262</x:v>
      </x:c>
      <x:c r="I5" s="22" t="n">
        <x:v>6.471453625046545</x:v>
      </x:c>
      <x:c r="J5" s="22" t="str">
        <x:v>YES</x:v>
      </x:c>
    </x:row>
    <x:row r="6" ht="18" customHeight="1">
      <x:c r="A6" s="21" t="str">
        <x:v>texas</x:v>
      </x:c>
      <x:c r="B6" s="21" t="str">
        <x:v>GraphSAGE</x:v>
      </x:c>
      <x:c r="C6" s="21" t="n">
        <x:v>10</x:v>
      </x:c>
      <x:c r="D6" s="22" t="n">
        <x:v>98.73563230037689</x:v>
      </x:c>
      <x:c r="E6" s="22" t="n">
        <x:v>2.327408367427706</x:v>
      </x:c>
      <x:c r="F6" s="22" t="n">
        <x:v>83.72881352901459</x:v>
      </x:c>
      <x:c r="G6" s="22" t="n">
        <x:v>3.5010019013982028</x:v>
      </x:c>
      <x:c r="H6" s="22" t="n">
        <x:v>84.32432472705841</x:v>
      </x:c>
      <x:c r="I6" s="22" t="n">
        <x:v>4.732945965541855</x:v>
      </x:c>
      <x:c r="J6" s="22" t="str">
        <x:v>YES</x:v>
      </x:c>
    </x:row>
    <x:row r="7" ht="18" customHeight="1">
      <x:c r="A7" s="21" t="str">
        <x:v>wisconsin</x:v>
      </x:c>
      <x:c r="B7" s="21" t="str">
        <x:v>GraphSAGE</x:v>
      </x:c>
      <x:c r="C7" s="21" t="n">
        <x:v>10</x:v>
      </x:c>
      <x:c r="D7" s="22" t="n">
        <x:v>97.08333253860474</x:v>
      </x:c>
      <x:c r="E7" s="22" t="n">
        <x:v>1.9344993798594619</x:v>
      </x:c>
      <x:c r="F7" s="22" t="n">
        <x:v>82.50000059604645</x:v>
      </x:c>
      <x:c r="G7" s="22" t="n">
        <x:v>2.041241938989782</x:v>
      </x:c>
      <x:c r="H7" s="22" t="n">
        <x:v>83.33333432674408</x:v>
      </x:c>
      <x:c r="I7" s="22" t="n">
        <x:v>5.249142956476028</x:v>
      </x:c>
      <x:c r="J7" s="22" t="str">
        <x:v>YES</x:v>
      </x:c>
    </x:row>
    <x:row r="8" ht="18" customHeight="1">
      <x:c r="A8" s="21"/>
      <x:c r="B8" s="21"/>
      <x:c r="C8" s="21"/>
      <x:c r="D8" s="22"/>
      <x:c r="E8" s="22"/>
      <x:c r="F8" s="22"/>
      <x:c r="G8" s="22"/>
      <x:c r="H8" s="22"/>
      <x:c r="I8" s="22"/>
      <x:c r="J8" s="22"/>
    </x:row>
    <x:row r="9" ht="18" customHeight="1">
      <x:c r="A9" s="21"/>
      <x:c r="B9" s="21"/>
      <x:c r="C9" s="21"/>
      <x:c r="D9" s="22"/>
      <x:c r="E9" s="22"/>
      <x:c r="F9" s="22"/>
      <x:c r="G9" s="22"/>
      <x:c r="H9" s="22"/>
      <x:c r="I9" s="22"/>
      <x:c r="J9" s="22"/>
    </x:row>
    <x:row r="10" ht="18" customHeight="1">
      <x:c r="A10" s="21"/>
      <x:c r="B10" s="21"/>
      <x:c r="C10" s="21"/>
      <x:c r="D10" s="22"/>
      <x:c r="E10" s="22"/>
      <x:c r="F10" s="22"/>
      <x:c r="G10" s="22"/>
      <x:c r="H10" s="22"/>
      <x:c r="I10" s="22"/>
      <x:c r="J10" s="22"/>
    </x:row>
    <x:row r="11" ht="18" customHeight="1">
      <x:c r="A11" s="21"/>
      <x:c r="B11" s="21"/>
      <x:c r="C11" s="21"/>
      <x:c r="D11" s="22"/>
      <x:c r="E11" s="22"/>
      <x:c r="F11" s="22"/>
      <x:c r="G11" s="22"/>
      <x:c r="H11" s="22"/>
      <x:c r="I11" s="22"/>
      <x:c r="J11" s="22"/>
    </x:row>
    <x:row r="12" ht="18" customHeight="1">
      <x:c r="A12" s="21"/>
      <x:c r="B12" s="21"/>
      <x:c r="C12" s="21"/>
      <x:c r="D12" s="22"/>
      <x:c r="E12" s="22"/>
      <x:c r="F12" s="22"/>
      <x:c r="G12" s="22"/>
      <x:c r="H12" s="22"/>
      <x:c r="I12" s="22"/>
      <x:c r="J12" s="22"/>
    </x:row>
    <x:row r="13" ht="18" customHeight="1">
      <x:c r="A13" s="21"/>
      <x:c r="B13" s="21"/>
      <x:c r="C13" s="21"/>
      <x:c r="D13" s="22"/>
      <x:c r="E13" s="22"/>
      <x:c r="F13" s="22"/>
      <x:c r="G13" s="22"/>
      <x:c r="H13" s="22"/>
      <x:c r="I13" s="22"/>
      <x:c r="J13" s="22"/>
    </x:row>
    <x:row r="14" ht="18" customHeight="1">
      <x:c r="A14" s="21"/>
      <x:c r="B14" s="21"/>
      <x:c r="C14" s="21"/>
      <x:c r="D14" s="22"/>
      <x:c r="E14" s="22"/>
      <x:c r="F14" s="22"/>
      <x:c r="G14" s="22"/>
      <x:c r="H14" s="22"/>
      <x:c r="I14" s="22"/>
      <x:c r="J14" s="22"/>
    </x:row>
    <x:row r="15" ht="18" customHeight="1">
      <x:c r="A15" s="21"/>
      <x:c r="B15" s="21"/>
      <x:c r="C15" s="21"/>
      <x:c r="D15" s="22"/>
      <x:c r="E15" s="22"/>
      <x:c r="F15" s="22"/>
      <x:c r="G15" s="22"/>
      <x:c r="H15" s="22"/>
      <x:c r="I15" s="22"/>
      <x:c r="J15" s="22"/>
    </x:row>
    <x:row r="16" ht="18" customHeight="1">
      <x:c r="A16" s="21"/>
      <x:c r="B16" s="21"/>
      <x:c r="C16" s="21"/>
      <x:c r="D16" s="22"/>
      <x:c r="E16" s="22"/>
      <x:c r="F16" s="22"/>
      <x:c r="G16" s="22"/>
      <x:c r="H16" s="22"/>
      <x:c r="I16" s="22"/>
      <x:c r="J16" s="22"/>
    </x:row>
    <x:row r="17" ht="18" customHeight="1">
      <x:c r="A17" s="21"/>
      <x:c r="B17" s="21"/>
      <x:c r="C17" s="21"/>
      <x:c r="D17" s="22"/>
      <x:c r="E17" s="22"/>
      <x:c r="F17" s="22"/>
      <x:c r="G17" s="22"/>
      <x:c r="H17" s="22"/>
      <x:c r="I17" s="22"/>
      <x:c r="J17" s="22"/>
    </x:row>
    <x:row r="18" ht="18" customHeight="1">
      <x:c r="A18" s="21"/>
      <x:c r="B18" s="21"/>
      <x:c r="C18" s="21"/>
      <x:c r="D18" s="22"/>
      <x:c r="E18" s="22"/>
      <x:c r="F18" s="22"/>
      <x:c r="G18" s="22"/>
      <x:c r="H18" s="22"/>
      <x:c r="I18" s="22"/>
      <x:c r="J18" s="22"/>
    </x:row>
    <x:row r="19" ht="18" customHeight="1">
      <x:c r="A19" s="21"/>
      <x:c r="B19" s="21"/>
      <x:c r="C19" s="21"/>
      <x:c r="D19" s="22"/>
      <x:c r="E19" s="22"/>
      <x:c r="F19" s="22"/>
      <x:c r="G19" s="22"/>
      <x:c r="H19" s="22"/>
      <x:c r="I19" s="22"/>
      <x:c r="J19" s="22"/>
    </x:row>
    <x:row r="20" ht="18" customHeight="1">
      <x:c r="A20" s="21"/>
      <x:c r="B20" s="21"/>
      <x:c r="C20" s="21"/>
      <x:c r="D20" s="22"/>
      <x:c r="E20" s="22"/>
      <x:c r="F20" s="22"/>
      <x:c r="G20" s="22"/>
      <x:c r="H20" s="22"/>
      <x:c r="I20" s="22"/>
      <x:c r="J20" s="22"/>
    </x:row>
    <x:row r="21" ht="18" customHeight="1">
      <x:c r="A21" s="21"/>
      <x:c r="B21" s="21"/>
      <x:c r="C21" s="21"/>
      <x:c r="D21" s="22"/>
      <x:c r="E21" s="22"/>
      <x:c r="F21" s="22"/>
      <x:c r="G21" s="22"/>
      <x:c r="H21" s="22"/>
      <x:c r="I21" s="22"/>
      <x:c r="J21" s="22"/>
    </x:row>
    <x:row r="22" ht="18" customHeight="1">
      <x:c r="A22" s="21"/>
      <x:c r="B22" s="21"/>
      <x:c r="C22" s="21"/>
      <x:c r="D22" s="22"/>
      <x:c r="E22" s="22"/>
      <x:c r="F22" s="22"/>
      <x:c r="G22" s="22"/>
      <x:c r="H22" s="22"/>
      <x:c r="I22" s="22"/>
      <x:c r="J22" s="22"/>
    </x:row>
    <x:row r="23" ht="18" customHeight="1">
      <x:c r="A23" s="21"/>
      <x:c r="B23" s="21"/>
      <x:c r="C23" s="21"/>
      <x:c r="D23" s="22"/>
      <x:c r="E23" s="22"/>
      <x:c r="F23" s="22"/>
      <x:c r="G23" s="22"/>
      <x:c r="H23" s="22"/>
      <x:c r="I23" s="22"/>
      <x:c r="J23" s="22"/>
    </x:row>
    <x:row r="24" ht="18" customHeight="1">
      <x:c r="A24" s="21"/>
      <x:c r="B24" s="21"/>
      <x:c r="C24" s="21"/>
      <x:c r="D24" s="22"/>
      <x:c r="E24" s="22"/>
      <x:c r="F24" s="22"/>
      <x:c r="G24" s="22"/>
      <x:c r="H24" s="22"/>
      <x:c r="I24" s="22"/>
      <x:c r="J24" s="22"/>
    </x:row>
    <x:row r="25" ht="18" customHeight="1">
      <x:c r="A25" s="21"/>
      <x:c r="B25" s="21"/>
      <x:c r="C25" s="21"/>
      <x:c r="D25" s="22"/>
      <x:c r="E25" s="22"/>
      <x:c r="F25" s="22"/>
      <x:c r="G25" s="22"/>
      <x:c r="H25" s="22"/>
      <x:c r="I25" s="22"/>
      <x:c r="J25" s="22"/>
    </x:row>
    <x:row r="26" ht="18" customHeight="1">
      <x:c r="A26" s="21"/>
      <x:c r="B26" s="21"/>
      <x:c r="C26" s="21"/>
      <x:c r="D26" s="22"/>
      <x:c r="E26" s="22"/>
      <x:c r="F26" s="22"/>
      <x:c r="G26" s="22"/>
      <x:c r="H26" s="22"/>
      <x:c r="I26" s="22"/>
      <x:c r="J26" s="22"/>
    </x:row>
    <x:row r="27" ht="18" customHeight="1">
      <x:c r="A27" s="21"/>
      <x:c r="B27" s="21"/>
      <x:c r="C27" s="21"/>
      <x:c r="D27" s="22"/>
      <x:c r="E27" s="22"/>
      <x:c r="F27" s="22"/>
      <x:c r="G27" s="22"/>
      <x:c r="H27" s="22"/>
      <x:c r="I27" s="22"/>
      <x:c r="J27" s="22"/>
    </x:row>
    <x:row r="28" ht="18" customHeight="1">
      <x:c r="A28" s="21"/>
      <x:c r="B28" s="21"/>
      <x:c r="C28" s="21"/>
      <x:c r="D28" s="22"/>
      <x:c r="E28" s="22"/>
      <x:c r="F28" s="22"/>
      <x:c r="G28" s="22"/>
      <x:c r="H28" s="22"/>
      <x:c r="I28" s="22"/>
      <x:c r="J28" s="22"/>
    </x:row>
    <x:row r="29" ht="18" customHeight="1">
      <x:c r="A29" s="21"/>
      <x:c r="B29" s="21"/>
      <x:c r="C29" s="21"/>
      <x:c r="D29" s="22"/>
      <x:c r="E29" s="22"/>
      <x:c r="F29" s="22"/>
      <x:c r="G29" s="22"/>
      <x:c r="H29" s="22"/>
      <x:c r="I29" s="22"/>
      <x:c r="J29" s="22"/>
    </x:row>
    <x:row r="30" ht="18" customHeight="1">
      <x:c r="A30" s="21"/>
      <x:c r="B30" s="21"/>
      <x:c r="C30" s="21"/>
      <x:c r="D30" s="22"/>
      <x:c r="E30" s="22"/>
      <x:c r="F30" s="22"/>
      <x:c r="G30" s="22"/>
      <x:c r="H30" s="22"/>
      <x:c r="I30" s="22"/>
      <x:c r="J30" s="22"/>
    </x:row>
    <x:row r="31" ht="18" customHeight="1">
      <x:c r="A31" s="21"/>
      <x:c r="B31" s="21"/>
      <x:c r="C31" s="21"/>
      <x:c r="D31" s="22"/>
      <x:c r="E31" s="22"/>
      <x:c r="F31" s="22"/>
      <x:c r="G31" s="22"/>
      <x:c r="H31" s="22"/>
      <x:c r="I31" s="22"/>
      <x:c r="J31" s="22"/>
    </x:row>
    <x:row r="32" ht="18" customHeight="1">
      <x:c r="A32" s="21"/>
      <x:c r="B32" s="21"/>
      <x:c r="C32" s="21"/>
      <x:c r="D32" s="22"/>
      <x:c r="E32" s="22"/>
      <x:c r="F32" s="22"/>
      <x:c r="G32" s="22"/>
      <x:c r="H32" s="22"/>
      <x:c r="I32" s="22"/>
      <x:c r="J32" s="22"/>
    </x:row>
    <x:row r="33" ht="18" customHeight="1">
      <x:c r="A33" s="21"/>
      <x:c r="B33" s="21"/>
      <x:c r="C33" s="21"/>
      <x:c r="D33" s="22"/>
      <x:c r="E33" s="22"/>
      <x:c r="F33" s="22"/>
      <x:c r="G33" s="22"/>
      <x:c r="H33" s="22"/>
      <x:c r="I33" s="22"/>
      <x:c r="J33" s="22"/>
    </x:row>
    <x:row r="34" ht="18" customHeight="1">
      <x:c r="A34" s="21"/>
      <x:c r="B34" s="21"/>
      <x:c r="C34" s="21"/>
      <x:c r="D34" s="22"/>
      <x:c r="E34" s="22"/>
      <x:c r="F34" s="22"/>
      <x:c r="G34" s="22"/>
      <x:c r="H34" s="22"/>
      <x:c r="I34" s="22"/>
      <x:c r="J34" s="22"/>
    </x:row>
    <x:row r="35" ht="18" customHeight="1">
      <x:c r="A35" s="21"/>
      <x:c r="B35" s="21"/>
      <x:c r="C35" s="21"/>
      <x:c r="D35" s="22"/>
      <x:c r="E35" s="22"/>
      <x:c r="F35" s="22"/>
      <x:c r="G35" s="22"/>
      <x:c r="H35" s="22"/>
      <x:c r="I35" s="22"/>
      <x:c r="J35" s="22"/>
    </x:row>
    <x:row r="36" ht="18" customHeight="1">
      <x:c r="A36" s="21"/>
      <x:c r="B36" s="21"/>
      <x:c r="C36" s="21"/>
      <x:c r="D36" s="22"/>
      <x:c r="E36" s="22"/>
      <x:c r="F36" s="22"/>
      <x:c r="G36" s="22"/>
      <x:c r="H36" s="22"/>
      <x:c r="I36" s="22"/>
      <x:c r="J36" s="22"/>
    </x:row>
    <x:row r="37" ht="18" customHeight="1">
      <x:c r="A37" s="21"/>
      <x:c r="B37" s="21"/>
      <x:c r="C37" s="21"/>
      <x:c r="D37" s="22"/>
      <x:c r="E37" s="22"/>
      <x:c r="F37" s="22"/>
      <x:c r="G37" s="22"/>
      <x:c r="H37" s="22"/>
      <x:c r="I37" s="22"/>
      <x:c r="J37" s="22"/>
    </x:row>
    <x:row r="38" ht="18" customHeight="1">
      <x:c r="A38" s="21"/>
      <x:c r="B38" s="21"/>
      <x:c r="C38" s="21"/>
      <x:c r="D38" s="22"/>
      <x:c r="E38" s="22"/>
      <x:c r="F38" s="22"/>
      <x:c r="G38" s="22"/>
      <x:c r="H38" s="22"/>
      <x:c r="I38" s="22"/>
      <x:c r="J38" s="22"/>
    </x:row>
    <x:row r="39" ht="18" customHeight="1">
      <x:c r="A39" s="21"/>
      <x:c r="B39" s="21"/>
      <x:c r="C39" s="21"/>
      <x:c r="D39" s="22"/>
      <x:c r="E39" s="22"/>
      <x:c r="F39" s="22"/>
      <x:c r="G39" s="22"/>
      <x:c r="H39" s="22"/>
      <x:c r="I39" s="22"/>
      <x:c r="J39" s="22"/>
    </x:row>
    <x:row r="40" ht="18" customHeight="1">
      <x:c r="A40" s="21"/>
      <x:c r="B40" s="21"/>
      <x:c r="C40" s="21"/>
      <x:c r="D40" s="22"/>
      <x:c r="E40" s="22"/>
      <x:c r="F40" s="22"/>
      <x:c r="G40" s="22"/>
      <x:c r="H40" s="22"/>
      <x:c r="I40" s="22"/>
      <x:c r="J40" s="22"/>
    </x:row>
    <x:row r="41" ht="18" customHeight="1">
      <x:c r="A41" s="21"/>
      <x:c r="B41" s="21"/>
      <x:c r="C41" s="21"/>
      <x:c r="D41" s="22"/>
      <x:c r="E41" s="22"/>
      <x:c r="F41" s="22"/>
      <x:c r="G41" s="22"/>
      <x:c r="H41" s="22"/>
      <x:c r="I41" s="22"/>
      <x:c r="J41" s="22"/>
    </x:row>
    <x:row r="42" ht="18" customHeight="1">
      <x:c r="A42" s="21"/>
      <x:c r="B42" s="21"/>
      <x:c r="C42" s="21"/>
      <x:c r="D42" s="22"/>
      <x:c r="E42" s="22"/>
      <x:c r="F42" s="22"/>
      <x:c r="G42" s="22"/>
      <x:c r="H42" s="22"/>
      <x:c r="I42" s="22"/>
      <x:c r="J42" s="22"/>
    </x:row>
    <x:row r="43" ht="18" customHeight="1">
      <x:c r="A43" s="21"/>
      <x:c r="B43" s="21"/>
      <x:c r="C43" s="21"/>
      <x:c r="D43" s="22"/>
      <x:c r="E43" s="22"/>
      <x:c r="F43" s="22"/>
      <x:c r="G43" s="22"/>
      <x:c r="H43" s="22"/>
      <x:c r="I43" s="22"/>
      <x:c r="J43" s="22"/>
    </x:row>
    <x:row r="44" ht="18" customHeight="1">
      <x:c r="A44" s="21"/>
      <x:c r="B44" s="21"/>
      <x:c r="C44" s="21"/>
      <x:c r="D44" s="22"/>
      <x:c r="E44" s="22"/>
      <x:c r="F44" s="22"/>
      <x:c r="G44" s="22"/>
      <x:c r="H44" s="22"/>
      <x:c r="I44" s="22"/>
      <x:c r="J44" s="22"/>
    </x:row>
    <x:row r="45" ht="18" customHeight="1">
      <x:c r="A45" s="21"/>
      <x:c r="B45" s="21"/>
      <x:c r="C45" s="21"/>
      <x:c r="D45" s="22"/>
      <x:c r="E45" s="22"/>
      <x:c r="F45" s="22"/>
      <x:c r="G45" s="22"/>
      <x:c r="H45" s="22"/>
      <x:c r="I45" s="22"/>
      <x:c r="J45" s="22"/>
    </x:row>
    <x:row r="46" ht="18" customHeight="1">
      <x:c r="A46" s="21"/>
      <x:c r="B46" s="21"/>
      <x:c r="C46" s="21"/>
      <x:c r="D46" s="22"/>
      <x:c r="E46" s="22"/>
      <x:c r="F46" s="22"/>
      <x:c r="G46" s="22"/>
      <x:c r="H46" s="22"/>
      <x:c r="I46" s="22"/>
      <x:c r="J46" s="22"/>
    </x:row>
    <x:row r="47" ht="18" customHeight="1">
      <x:c r="A47" s="21"/>
      <x:c r="B47" s="21"/>
      <x:c r="C47" s="21"/>
      <x:c r="D47" s="22"/>
      <x:c r="E47" s="22"/>
      <x:c r="F47" s="22"/>
      <x:c r="G47" s="22"/>
      <x:c r="H47" s="22"/>
      <x:c r="I47" s="22"/>
      <x:c r="J47" s="22"/>
    </x:row>
    <x:row r="48" ht="18" customHeight="1">
      <x:c r="A48" s="21"/>
      <x:c r="B48" s="21"/>
      <x:c r="C48" s="21"/>
      <x:c r="D48" s="22"/>
      <x:c r="E48" s="22"/>
      <x:c r="F48" s="22"/>
      <x:c r="G48" s="22"/>
      <x:c r="H48" s="22"/>
      <x:c r="I48" s="22"/>
      <x:c r="J48" s="22"/>
    </x:row>
    <x:row r="49" ht="18" customHeight="1">
      <x:c r="A49" s="21"/>
      <x:c r="B49" s="21"/>
      <x:c r="C49" s="21"/>
      <x:c r="D49" s="22"/>
      <x:c r="E49" s="22"/>
      <x:c r="F49" s="22"/>
      <x:c r="G49" s="22"/>
      <x:c r="H49" s="22"/>
      <x:c r="I49" s="22"/>
      <x:c r="J49" s="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22" customWidth="1"/>
    <x:col min="2" max="2" width="24" customWidth="1"/>
    <x:col min="3" max="3" width="12" customWidth="1"/>
    <x:col min="4" max="4" width="18" customWidth="1"/>
    <x:col min="5" max="5" width="16" customWidth="1"/>
    <x:col min="6" max="6" width="19" customWidth="1"/>
    <x:col min="7" max="7" width="16" customWidth="1"/>
    <x:col min="8" max="8" width="12" customWidth="1"/>
    <x:col min="9" max="9" width="17" customWidth="1"/>
    <x:col min="10" max="10" width="16" customWidth="1"/>
    <x:col min="11" max="11" width="18" customWidth="1"/>
    <x:col min="12" max="12" width="16" customWidth="1"/>
    <x:col min="13" max="13" width="18" customWidth="1"/>
  </x:cols>
  <x:sheetData>
    <x:row r="1" ht="18" customHeight="1">
      <x:c r="A1" s="20" t="s">
        <x:v>7</x:v>
      </x:c>
      <x:c r="B1" s="20" t="s">
        <x:v>68</x:v>
      </x:c>
      <x:c r="C1" s="20" t="s">
        <x:v>69</x:v>
      </x:c>
      <x:c r="D1" s="20" t="s">
        <x:v>70</x:v>
      </x:c>
      <x:c r="E1" s="20" t="s">
        <x:v>71</x:v>
      </x:c>
      <x:c r="F1" s="20" t="s">
        <x:v>72</x:v>
      </x:c>
      <x:c r="G1" s="20" t="s">
        <x:v>73</x:v>
      </x:c>
      <x:c r="H1" s="20" t="s">
        <x:v>74</x:v>
      </x:c>
      <x:c r="I1" s="20" t="s">
        <x:v>75</x:v>
      </x:c>
      <x:c r="J1" s="20" t="s">
        <x:v>76</x:v>
      </x:c>
      <x:c r="K1" s="20" t="s">
        <x:v>77</x:v>
      </x:c>
      <x:c r="L1" s="20" t="s">
        <x:v>78</x:v>
      </x:c>
      <x:c r="M1" s="20" t="s">
        <x:v>79</x:v>
      </x:c>
    </x:row>
    <x:row r="2" ht="18" customHeight="1">
      <x:c r="A2" s="21" t="s">
        <x:v>27</x:v>
      </x:c>
      <x:c r="B2" s="21" t="str">
        <x:v>GraphSAGE</x:v>
      </x:c>
      <x:c r="C2" s="21" t="n">
        <x:f>COUNT(Raw_Strongest_Baseline_Repeats!H2:H11)</x:f>
        <x:v>10</x:v>
      </x:c>
      <x:c r="D2" s="22" t="n">
        <x:f>AVERAGE(Raw_Strongest_Baseline_Repeats!G2:G11)*100</x:f>
        <x:v>87.03333377838135</x:v>
      </x:c>
      <x:c r="E2" s="22" t="n">
        <x:f>_xlfn.STDEV.S(Raw_Strongest_Baseline_Repeats!G2:G11)*100</x:f>
        <x:v>2.603179334408833</x:v>
      </x:c>
      <x:c r="F2" s="22" t="n">
        <x:f>AVERAGE(Raw_Strongest_Baseline_Repeats!H2:H11)*100</x:f>
        <x:v>76.83972239494324</x:v>
      </x:c>
      <x:c r="G2" s="22" t="n">
        <x:f>_xlfn.STDEV.S(Raw_Strongest_Baseline_Repeats!H2:H11)*100</x:f>
        <x:v>2.275151609990931</x:v>
      </x:c>
      <x:c r="H2" s="22" t="n">
        <x:f>COUNT(Raw_SRC_V16C_Repeats!H2:H11)</x:f>
        <x:v>10</x:v>
      </x:c>
      <x:c r="I2" s="22" t="n">
        <x:f>AVERAGE(Raw_SRC_V16C_Repeats!G2:G11)*100</x:f>
        <x:v>85.46666666666667</x:v>
      </x:c>
      <x:c r="J2" s="22" t="n">
        <x:f>_xlfn.STDEV.S(Raw_SRC_V16C_Repeats!G2:G11)*100</x:f>
        <x:v>1.2392749772087717</x:v>
      </x:c>
      <x:c r="K2" s="22" t="n">
        <x:f>AVERAGE(Raw_SRC_V16C_Repeats!H2:H11)*100</x:f>
        <x:v>78.70962873528524</x:v>
      </x:c>
      <x:c r="L2" s="22" t="n">
        <x:f>_xlfn.STDEV.S(Raw_SRC_V16C_Repeats!H2:H11)*100</x:f>
        <x:v>1.1547438109069015</x:v>
      </x:c>
      <x:c r="M2" s="22" t="n">
        <x:f t="shared" ref="M2:M7" si="0">K2-F2</x:f>
        <x:v>1.8699063403419984</x:v>
      </x:c>
    </x:row>
    <x:row r="3" ht="18" customHeight="1">
      <x:c r="A3" s="21" t="s">
        <x:v>36</x:v>
      </x:c>
      <x:c r="B3" s="21" t="str">
        <x:v>GraphSAGE</x:v>
      </x:c>
      <x:c r="C3" s="21" t="n">
        <x:f>COUNT(Raw_Strongest_Baseline_Repeats!H12:H21)</x:f>
        <x:v>10</x:v>
      </x:c>
      <x:c r="D3" s="22" t="n">
        <x:f>AVERAGE(Raw_Strongest_Baseline_Repeats!G12:G21)*100</x:f>
        <x:v>91.16666734218597</x:v>
      </x:c>
      <x:c r="E3" s="22" t="n">
        <x:f>_xlfn.STDEV.S(Raw_Strongest_Baseline_Repeats!G12:G21)*100</x:f>
        <x:v>1.329277126153532</x:v>
      </x:c>
      <x:c r="F3" s="22" t="n">
        <x:f>AVERAGE(Raw_Strongest_Baseline_Repeats!H12:H21)*100</x:f>
        <x:v>88.36965441703796</x:v>
      </x:c>
      <x:c r="G3" s="22" t="n">
        <x:f>_xlfn.STDEV.S(Raw_Strongest_Baseline_Repeats!H12:H21)*100</x:f>
        <x:v>1.8645119150715668</x:v>
      </x:c>
      <x:c r="H3" s="22" t="n">
        <x:f>COUNT(Raw_SRC_V16C_Repeats!H12:H21)</x:f>
        <x:v>10</x:v>
      </x:c>
      <x:c r="I3" s="22" t="n">
        <x:f>AVERAGE(Raw_SRC_V16C_Repeats!G12:G21)*100</x:f>
        <x:v>91.66666666666666</x:v>
      </x:c>
      <x:c r="J3" s="22" t="n">
        <x:f>_xlfn.STDEV.S(Raw_SRC_V16C_Repeats!G12:G21)*100</x:f>
        <x:v>2.2047927592204664</x:v>
      </x:c>
      <x:c r="K3" s="22" t="n">
        <x:f>AVERAGE(Raw_SRC_V16C_Repeats!H12:H21)*100</x:f>
        <x:v>88.75999999999999</x:v>
      </x:c>
      <x:c r="L3" s="22" t="n">
        <x:f>_xlfn.STDEV.S(Raw_SRC_V16C_Repeats!H12:H21)*100</x:f>
        <x:v>1.3532784870439043</x:v>
      </x:c>
      <x:c r="M3" s="22" t="n">
        <x:f t="shared" si="0">K3-F3</x:f>
        <x:v>0.39034558296202704</x:v>
      </x:c>
    </x:row>
    <x:row r="4" ht="18" customHeight="1">
      <x:c r="A4" s="21" t="s">
        <x:v>39</x:v>
      </x:c>
      <x:c r="B4" s="21" t="str">
        <x:v>LINKX</x:v>
      </x:c>
      <x:c r="C4" s="21" t="n">
        <x:f>COUNT(Raw_Strongest_Baseline_Repeats!H22:H31)</x:f>
        <x:v>10</x:v>
      </x:c>
      <x:c r="D4" s="22" t="n">
        <x:f>AVERAGE(Raw_Strongest_Baseline_Repeats!G22:G31)*100</x:f>
        <x:v>71.93415522575378</x:v>
      </x:c>
      <x:c r="E4" s="22" t="n">
        <x:f>_xlfn.STDEV.S(Raw_Strongest_Baseline_Repeats!G22:G31)*100</x:f>
        <x:v>1.7317535890375533</x:v>
      </x:c>
      <x:c r="F4" s="22" t="n">
        <x:f>AVERAGE(Raw_Strongest_Baseline_Repeats!H22:H31)*100</x:f>
        <x:v>71.55701696872711</x:v>
      </x:c>
      <x:c r="G4" s="22" t="n">
        <x:f>_xlfn.STDEV.S(Raw_Strongest_Baseline_Repeats!H22:H31)*100</x:f>
        <x:v>1.4946994669949587</x:v>
      </x:c>
      <x:c r="H4" s="22" t="n">
        <x:f>COUNT(Raw_SRC_V16C_Repeats!H22:H31)</x:f>
        <x:v>10</x:v>
      </x:c>
      <x:c r="I4" s="22" t="n">
        <x:f>AVERAGE(Raw_SRC_V16C_Repeats!G22:G31)*100</x:f>
        <x:v>72.79835390946502</x:v>
      </x:c>
      <x:c r="J4" s="22" t="n">
        <x:f>_xlfn.STDEV.S(Raw_SRC_V16C_Repeats!G22:G31)*100</x:f>
        <x:v>2.286282578417944</x:v>
      </x:c>
      <x:c r="K4" s="22" t="n">
        <x:f>AVERAGE(Raw_SRC_V16C_Repeats!H22:H31)*100</x:f>
        <x:v>72.4780701754386</x:v>
      </x:c>
      <x:c r="L4" s="22" t="n">
        <x:f>_xlfn.STDEV.S(Raw_SRC_V16C_Repeats!H22:H31)*100</x:f>
        <x:v>1.8528935461456946</x:v>
      </x:c>
      <x:c r="M4" s="22" t="n">
        <x:f t="shared" si="0">K4-F4</x:f>
        <x:v>0.9210532067114912</x:v>
      </x:c>
    </x:row>
    <x:row r="5" ht="18" customHeight="1">
      <x:c r="A5" s="21" t="s">
        <x:v>53</x:v>
      </x:c>
      <x:c r="B5" s="21" t="str">
        <x:v>GraphSAGE</x:v>
      </x:c>
      <x:c r="C5" s="21" t="n">
        <x:f>COUNT(Raw_Strongest_Baseline_Repeats!H32:H41)</x:f>
        <x:v>10</x:v>
      </x:c>
      <x:c r="D5" s="22" t="n">
        <x:f>AVERAGE(Raw_Strongest_Baseline_Repeats!G32:G41)*100</x:f>
        <x:v>78.30508470535278</x:v>
      </x:c>
      <x:c r="E5" s="22" t="n">
        <x:f>_xlfn.STDEV.S(Raw_Strongest_Baseline_Repeats!G32:G41)*100</x:f>
        <x:v>4.976884906513083</x:v>
      </x:c>
      <x:c r="F5" s="22" t="n">
        <x:f>AVERAGE(Raw_Strongest_Baseline_Repeats!H32:H41)*100</x:f>
        <x:v>72.43243217468262</x:v>
      </x:c>
      <x:c r="G5" s="22" t="n">
        <x:f>_xlfn.STDEV.S(Raw_Strongest_Baseline_Repeats!H32:H41)*100</x:f>
        <x:v>6.471453625046545</x:v>
      </x:c>
      <x:c r="H5" s="22" t="n">
        <x:f>COUNT(Raw_SRC_V16C_Repeats!H32:H41)</x:f>
        <x:v>10</x:v>
      </x:c>
      <x:c r="I5" s="22" t="n">
        <x:f>AVERAGE(Raw_SRC_V16C_Repeats!G32:G41)*100</x:f>
        <x:v>80.5084745762712</x:v>
      </x:c>
      <x:c r="J5" s="22" t="n">
        <x:f>_xlfn.STDEV.S(Raw_SRC_V16C_Repeats!G32:G41)*100</x:f>
        <x:v>3.2208345341783393</x:v>
      </x:c>
      <x:c r="K5" s="22" t="n">
        <x:f>AVERAGE(Raw_SRC_V16C_Repeats!H32:H41)*100</x:f>
        <x:v>75.40540540540542</x:v>
      </x:c>
      <x:c r="L5" s="22" t="n">
        <x:f>_xlfn.STDEV.S(Raw_SRC_V16C_Repeats!H32:H41)*100</x:f>
        <x:v>7.257705967972182</x:v>
      </x:c>
      <x:c r="M5" s="22" t="n">
        <x:f t="shared" si="0">K5-F5</x:f>
        <x:v>2.9729732307228005</x:v>
      </x:c>
    </x:row>
    <x:row r="6" ht="18" customHeight="1">
      <x:c r="A6" s="21" t="s">
        <x:v>55</x:v>
      </x:c>
      <x:c r="B6" s="21" t="str">
        <x:v>GraphSAGE</x:v>
      </x:c>
      <x:c r="C6" s="21" t="n">
        <x:f>COUNT(Raw_Strongest_Baseline_Repeats!H42:H51)</x:f>
        <x:v>10</x:v>
      </x:c>
      <x:c r="D6" s="22" t="n">
        <x:f>AVERAGE(Raw_Strongest_Baseline_Repeats!G42:G51)*100</x:f>
        <x:v>83.72881352901459</x:v>
      </x:c>
      <x:c r="E6" s="22" t="n">
        <x:f>_xlfn.STDEV.S(Raw_Strongest_Baseline_Repeats!G42:G51)*100</x:f>
        <x:v>3.5010019013982028</x:v>
      </x:c>
      <x:c r="F6" s="22" t="n">
        <x:f>AVERAGE(Raw_Strongest_Baseline_Repeats!H42:H51)*100</x:f>
        <x:v>84.32432472705841</x:v>
      </x:c>
      <x:c r="G6" s="22" t="n">
        <x:f>_xlfn.STDEV.S(Raw_Strongest_Baseline_Repeats!H42:H51)*100</x:f>
        <x:v>4.732945965541856</x:v>
      </x:c>
      <x:c r="H6" s="22" t="n">
        <x:f>COUNT(Raw_SRC_V16C_Repeats!H42:H51)</x:f>
        <x:v>10</x:v>
      </x:c>
      <x:c r="I6" s="22" t="n">
        <x:f>AVERAGE(Raw_SRC_V16C_Repeats!G42:G51)*100</x:f>
        <x:v>87.75862068965516</x:v>
      </x:c>
      <x:c r="J6" s="22" t="n">
        <x:f>_xlfn.STDEV.S(Raw_SRC_V16C_Repeats!G42:G51)*100</x:f>
        <x:v>2.4985132321016392</x:v>
      </x:c>
      <x:c r="K6" s="22" t="n">
        <x:f>AVERAGE(Raw_SRC_V16C_Repeats!H42:H51)*100</x:f>
        <x:v>86.31578947368419</x:v>
      </x:c>
      <x:c r="L6" s="22" t="n">
        <x:f>_xlfn.STDEV.S(Raw_SRC_V16C_Repeats!H42:H51)*100</x:f>
        <x:v>4.0768245749551655</x:v>
      </x:c>
      <x:c r="M6" s="22" t="n">
        <x:f t="shared" si="0">K6-F6</x:f>
        <x:v>1.9914647466257804</x:v>
      </x:c>
    </x:row>
    <x:row r="7" ht="18" customHeight="1">
      <x:c r="A7" s="21" t="s">
        <x:v>56</x:v>
      </x:c>
      <x:c r="B7" s="21" t="str">
        <x:v>GraphSAGE</x:v>
      </x:c>
      <x:c r="C7" s="21" t="n">
        <x:f>COUNT(Raw_Strongest_Baseline_Repeats!H52:H61)</x:f>
        <x:v>10</x:v>
      </x:c>
      <x:c r="D7" s="22" t="n">
        <x:f>AVERAGE(Raw_Strongest_Baseline_Repeats!G52:G61)*100</x:f>
        <x:v>82.50000059604645</x:v>
      </x:c>
      <x:c r="E7" s="22" t="n">
        <x:f>_xlfn.STDEV.S(Raw_Strongest_Baseline_Repeats!G52:G61)*100</x:f>
        <x:v>2.041241938989782</x:v>
      </x:c>
      <x:c r="F7" s="22" t="n">
        <x:f>AVERAGE(Raw_Strongest_Baseline_Repeats!H52:H61)*100</x:f>
        <x:v>83.33333432674408</x:v>
      </x:c>
      <x:c r="G7" s="22" t="n">
        <x:f>_xlfn.STDEV.S(Raw_Strongest_Baseline_Repeats!H52:H61)*100</x:f>
        <x:v>5.249142956476028</x:v>
      </x:c>
      <x:c r="H7" s="22" t="n">
        <x:f>COUNT(Raw_SRC_V16C_Repeats!H52:H61)</x:f>
        <x:v>10</x:v>
      </x:c>
      <x:c r="I7" s="22" t="n">
        <x:f>AVERAGE(Raw_SRC_V16C_Repeats!G52:G61)*100</x:f>
        <x:v>85.25</x:v>
      </x:c>
      <x:c r="J7" s="22" t="n">
        <x:f>_xlfn.STDEV.S(Raw_SRC_V16C_Repeats!G52:G61)*100</x:f>
        <x:v>1.53659074288215</x:v>
      </x:c>
      <x:c r="K7" s="22" t="n">
        <x:f>AVERAGE(Raw_SRC_V16C_Repeats!H52:H61)*100</x:f>
        <x:v>84.3137254901961</x:v>
      </x:c>
      <x:c r="L7" s="22" t="n">
        <x:f>_xlfn.STDEV.S(Raw_SRC_V16C_Repeats!H52:H61)*100</x:f>
        <x:v>4.235778234253523</x:v>
      </x:c>
      <x:c r="M7" s="22" t="n">
        <x:f t="shared" si="0">K7-F7</x:f>
        <x:v>0.9803911634520261</x:v>
      </x:c>
    </x:row>
    <x:row r="8" ht="18" customHeight="1">
      <x:c r="D8" s="23"/>
      <x:c r="E8" s="23"/>
      <x:c r="F8" s="23"/>
      <x:c r="G8" s="23"/>
      <x:c r="H8" s="23"/>
      <x:c r="I8" s="23"/>
      <x:c r="J8" s="23"/>
      <x:c r="K8" s="23"/>
      <x:c r="L8" s="23"/>
      <x:c r="M8" s="23"/>
    </x:row>
    <x:row r="9" ht="18" customHeight="1">
      <x:c r="A9" s="24" t="s">
        <x:v>6</x:v>
      </x:c>
      <x:c r="D9" s="23"/>
      <x:c r="E9" s="23"/>
      <x:c r="F9" s="25" t="n">
        <x:f>AVERAGE(F2:F7)</x:f>
        <x:v>79.47608083486557</x:v>
      </x:c>
      <x:c r="G9" s="23"/>
      <x:c r="H9" s="23"/>
      <x:c r="I9" s="23"/>
      <x:c r="J9" s="23"/>
      <x:c r="K9" s="25" t="n">
        <x:f>AVERAGE(K2:K7)</x:f>
        <x:v>80.99710321333492</x:v>
      </x:c>
      <x:c r="L9" s="23"/>
      <x:c r="M9" s="25" t="n">
        <x:f>AVERAGE(M2:M7)</x:f>
        <x:v>1.521022378469354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20" customWidth="1"/>
    <x:col min="2" max="2" width="26" customWidth="1"/>
    <x:col min="3" max="3" width="16" customWidth="1"/>
    <x:col min="4" max="4" width="8" customWidth="1"/>
    <x:col min="5" max="5" width="14" customWidth="1"/>
    <x:col min="6" max="6" width="12" customWidth="1"/>
    <x:col min="7" max="7" width="14" customWidth="1"/>
    <x:col min="8" max="8" width="12" customWidth="1"/>
    <x:col min="9" max="9" width="14" customWidth="1"/>
    <x:col min="10" max="10" width="12" customWidth="1"/>
    <x:col min="11" max="11" width="18" customWidth="1"/>
    <x:col min="12" max="12" width="8" customWidth="1"/>
    <x:col min="13" max="14" width="10" customWidth="1"/>
    <x:col min="15" max="15" width="38" customWidth="1"/>
    <x:col min="16" max="18" width="12" customWidth="1"/>
    <x:col min="19" max="19" width="16" customWidth="1"/>
    <x:col min="20" max="20" width="14" customWidth="1"/>
    <x:col min="21" max="21" width="10" customWidth="1"/>
    <x:col min="22" max="22" width="8" customWidth="1"/>
    <x:col min="23" max="23" width="10" customWidth="1"/>
    <x:col min="24" max="24" width="20" customWidth="1"/>
    <x:col min="25" max="25" width="8" customWidth="1"/>
    <x:col min="26" max="26" width="16" customWidth="1"/>
    <x:col min="27" max="27" width="32" customWidth="1"/>
    <x:col min="28" max="28" width="36" customWidth="1"/>
    <x:col min="29" max="29" width="14" customWidth="1"/>
  </x:cols>
  <x:sheetData>
    <x:row r="1" ht="22" customHeight="1">
      <x:c r="A1" s="4" t="s">
        <x:v>0</x:v>
      </x:c>
      <x:c r="B1" s="4" t="s">
        <x:v>80</x:v>
      </x:c>
      <x:c r="C1" s="4" t="s">
        <x:v>81</x:v>
      </x:c>
      <x:c r="D1" s="4" t="s">
        <x:v>5</x:v>
      </x:c>
      <x:c r="E1" s="4" t="s">
        <x:v>82</x:v>
      </x:c>
      <x:c r="F1" s="4" t="s">
        <x:v>83</x:v>
      </x:c>
      <x:c r="G1" s="4" t="s">
        <x:v>84</x:v>
      </x:c>
      <x:c r="H1" s="4" t="s">
        <x:v>85</x:v>
      </x:c>
      <x:c r="I1" s="4" t="s">
        <x:v>86</x:v>
      </x:c>
      <x:c r="J1" s="4" t="s">
        <x:v>87</x:v>
      </x:c>
      <x:c r="K1" s="4" t="s">
        <x:v>88</x:v>
      </x:c>
      <x:c r="L1" s="4" t="s">
        <x:v>89</x:v>
      </x:c>
      <x:c r="M1" s="4" t="s">
        <x:v>90</x:v>
      </x:c>
      <x:c r="N1" s="4" t="s">
        <x:v>91</x:v>
      </x:c>
      <x:c r="O1" s="4" t="s">
        <x:v>92</x:v>
      </x:c>
      <x:c r="P1" s="4" t="s">
        <x:v>93</x:v>
      </x:c>
      <x:c r="Q1" s="4" t="s">
        <x:v>94</x:v>
      </x:c>
      <x:c r="R1" s="4" t="s">
        <x:v>95</x:v>
      </x:c>
      <x:c r="S1" s="4" t="s">
        <x:v>96</x:v>
      </x:c>
      <x:c r="T1" s="4" t="s">
        <x:v>97</x:v>
      </x:c>
      <x:c r="U1" s="4" t="s">
        <x:v>16</x:v>
      </x:c>
      <x:c r="V1" s="4" t="s">
        <x:v>17</x:v>
      </x:c>
      <x:c r="W1" s="4" t="s">
        <x:v>18</x:v>
      </x:c>
      <x:c r="X1" s="4" t="s">
        <x:v>19</x:v>
      </x:c>
      <x:c r="Y1" s="4" t="s">
        <x:v>20</x:v>
      </x:c>
      <x:c r="Z1" s="4" t="s">
        <x:v>21</x:v>
      </x:c>
      <x:c r="AA1" s="4" t="s">
        <x:v>22</x:v>
      </x:c>
      <x:c r="AB1" s="4" t="s">
        <x:v>24</x:v>
      </x:c>
      <x:c r="AC1" s="4" t="s">
        <x:v>25</x:v>
      </x:c>
    </x:row>
    <x:row r="2" ht="22" customHeight="1">
      <x:c r="A2" s="6" t="s">
        <x:v>98</x:v>
      </x:c>
    </x:row>
    <x:row r="3" ht="22" customHeight="1">
      <x:c r="A3" s="7" t="s">
        <x:v>27</x:v>
      </x:c>
      <x:c r="B3" s="7" t="s">
        <x:v>99</x:v>
      </x:c>
      <x:c r="C3" s="7" t="str">
        <x:v>GraphSAGE</x:v>
      </x:c>
      <x:c r="D3" s="8" t="n">
        <x:f>COUNT(Raw_Strongest_Baseline_Repeats!H2:H11)</x:f>
        <x:v>10</x:v>
      </x:c>
      <x:c r="E3" s="9" t="n">
        <x:f>AVERAGE(Raw_Strongest_Baseline_Repeats!F2:F11)*100</x:f>
        <x:v>96.10000133514404</x:v>
      </x:c>
      <x:c r="F3" s="9" t="n">
        <x:f>_xlfn.STDEV.S(Raw_Strongest_Baseline_Repeats!F2:F11)*100</x:f>
        <x:v>2.492210472583431</x:v>
      </x:c>
      <x:c r="G3" s="9" t="n">
        <x:f>AVERAGE(Raw_Strongest_Baseline_Repeats!G2:G11)*100</x:f>
        <x:v>87.03333377838135</x:v>
      </x:c>
      <x:c r="H3" s="9" t="n">
        <x:f>_xlfn.STDEV.S(Raw_Strongest_Baseline_Repeats!G2:G11)*100</x:f>
        <x:v>2.603179334408833</x:v>
      </x:c>
      <x:c r="I3" s="9" t="n">
        <x:f>AVERAGE(Raw_Strongest_Baseline_Repeats!H2:H11)*100</x:f>
        <x:v>76.83972239494324</x:v>
      </x:c>
      <x:c r="J3" s="9" t="n">
        <x:f>_xlfn.STDEV.S(Raw_Strongest_Baseline_Repeats!H2:H11)*100</x:f>
        <x:v>2.275151609990931</x:v>
      </x:c>
      <x:c r="K3" s="9"/>
      <x:c r="L3" s="8"/>
      <x:c r="M3" s="8"/>
      <x:c r="N3" s="8"/>
      <x:c r="O3" s="8"/>
      <x:c r="P3" s="9"/>
      <x:c r="Q3" s="9"/>
      <x:c r="R3" s="9"/>
      <x:c r="S3" s="10"/>
      <x:c r="T3" s="9"/>
      <x:c r="U3" s="8"/>
      <x:c r="V3" s="8"/>
      <x:c r="W3" s="9"/>
      <x:c r="X3" s="8"/>
      <x:c r="Y3" s="9"/>
      <x:c r="Z3" s="8"/>
      <x:c r="AA3" s="8"/>
      <x:c r="AB3" s="8" t="str">
        <x:v>strongest_baseline_repeats_merged.csv</x:v>
      </x:c>
      <x:c r="AC3" s="8" t="str">
        <x:v>rows 2-11 in Raw_Strongest_Baseline_Repeats</x:v>
      </x:c>
    </x:row>
    <x:row r="4" ht="22" customHeight="1">
      <x:c r="A4" s="11" t="s">
        <x:v>27</x:v>
      </x:c>
      <x:c r="B4" s="11" t="s">
        <x:v>100</x:v>
      </x:c>
      <x:c r="C4" s="11" t="s">
        <x:v>2</x:v>
      </x:c>
      <x:c r="D4" s="12" t="n">
        <x:f>COUNT(Raw_SRC_V16C_Repeats!H2:H11)</x:f>
        <x:v>10</x:v>
      </x:c>
      <x:c r="E4" s="13" t="n">
        <x:f>AVERAGE(Raw_SRC_V16C_Repeats!F2:F11)*100</x:f>
        <x:v>100</x:v>
      </x:c>
      <x:c r="F4" s="13" t="n">
        <x:f>_xlfn.STDEV.S(Raw_SRC_V16C_Repeats!F2:F11)*100</x:f>
        <x:v>0</x:v>
      </x:c>
      <x:c r="G4" s="13" t="n">
        <x:f>AVERAGE(Raw_SRC_V16C_Repeats!G2:G11)*100</x:f>
        <x:v>85.46666666666667</x:v>
      </x:c>
      <x:c r="H4" s="13" t="n">
        <x:f>_xlfn.STDEV.S(Raw_SRC_V16C_Repeats!G2:G11)*100</x:f>
        <x:v>1.2392749772087717</x:v>
      </x:c>
      <x:c r="I4" s="13" t="n">
        <x:f>AVERAGE(Raw_SRC_V16C_Repeats!H2:H11)*100</x:f>
        <x:v>78.70962873528524</x:v>
      </x:c>
      <x:c r="J4" s="13" t="n">
        <x:f>_xlfn.STDEV.S(Raw_SRC_V16C_Repeats!H2:H11)*100</x:f>
        <x:v>1.1547438109069015</x:v>
      </x:c>
      <x:c r="K4" s="13" t="n">
        <x:f>I4-I3</x:f>
        <x:v>1.8699063403419984</x:v>
      </x:c>
      <x:c r="L4" s="12"/>
      <x:c r="M4" s="12"/>
      <x:c r="N4" s="12"/>
      <x:c r="O4" s="12"/>
      <x:c r="P4" s="13"/>
      <x:c r="Q4" s="13"/>
      <x:c r="R4" s="13"/>
      <x:c r="S4" s="14"/>
      <x:c r="T4" s="13"/>
      <x:c r="U4" s="12"/>
      <x:c r="V4" s="12"/>
      <x:c r="W4" s="13"/>
      <x:c r="X4" s="12"/>
      <x:c r="Y4" s="13"/>
      <x:c r="Z4" s="12"/>
      <x:c r="AA4" s="12"/>
      <x:c r="AB4" s="12" t="s">
        <x:v>101</x:v>
      </x:c>
      <x:c r="AC4" s="12" t="s">
        <x:v>102</x:v>
      </x:c>
    </x:row>
    <x:row r="5" ht="22" customHeight="1">
      <x:c r="A5" s="15" t="str">
        <x:f>Raw_SRC_V16C_Repeats!A2</x:f>
        <x:v>amazon-computers</x:v>
      </x:c>
      <x:c r="B5" s="15" t="str">
        <x:f>"SRC-v16c repeat "&amp;Raw_SRC_V16C_Repeats!B2</x:f>
        <x:v>SRC-v16c repeat 0</x:v>
      </x:c>
      <x:c r="C5" s="15" t="s">
        <x:v>2</x:v>
      </x:c>
      <x:c r="D5" s="15"/>
      <x:c r="E5" s="16"/>
      <x:c r="F5" s="16"/>
      <x:c r="G5" s="16"/>
      <x:c r="H5" s="16"/>
      <x:c r="I5" s="16"/>
      <x:c r="J5" s="16"/>
      <x:c r="K5" s="16"/>
      <x:c r="L5" s="15" t="n">
        <x:f>Raw_SRC_V16C_Repeats!B2</x:f>
        <x:v>0</x:v>
      </x:c>
      <x:c r="M5" s="15" t="n">
        <x:f>Raw_SRC_V16C_Repeats!C2</x:f>
        <x:v>20260419</x:v>
      </x:c>
      <x:c r="N5" s="15" t="n">
        <x:f>Raw_SRC_V16C_Repeats!D2</x:f>
        <x:v>0</x:v>
      </x:c>
      <x:c r="O5" s="15" t="str">
        <x:f>Raw_SRC_V16C_Repeats!E2</x:f>
        <x:v>class_balanced_random_20_train_30_val_per_class</x:v>
      </x:c>
      <x:c r="P5" s="16" t="n">
        <x:f>Raw_SRC_V16C_Repeats!F2*100</x:f>
        <x:v>100</x:v>
      </x:c>
      <x:c r="Q5" s="16" t="n">
        <x:f>Raw_SRC_V16C_Repeats!G2*100</x:f>
        <x:v>85.3333333333333</x:v>
      </x:c>
      <x:c r="R5" s="16" t="n">
        <x:f>Raw_SRC_V16C_Repeats!H2*100</x:f>
        <x:v>77.6184726833685</x:v>
      </x:c>
      <x:c r="S5" s="17" t="n">
        <x:f>Raw_SRC_V16C_Repeats!H2</x:f>
        <x:v>0.776184726833685</x:v>
      </x:c>
      <x:c r="T5" s="16" t="n">
        <x:f>Raw_SRC_V16C_Repeats!I2*100</x:f>
        <x:v>85.3333333333333</x:v>
      </x:c>
      <x:c r="U5" s="15" t="n">
        <x:f>Raw_SRC_V16C_Repeats!J2</x:f>
        <x:v>4000</x:v>
      </x:c>
      <x:c r="V5" s="15" t="n">
        <x:f>Raw_SRC_V16C_Repeats!K2</x:f>
        <x:v>64</x:v>
      </x:c>
      <x:c r="W5" s="16" t="n">
        <x:f>Raw_SRC_V16C_Repeats!L2</x:f>
        <x:v>0.95</x:v>
      </x:c>
      <x:c r="X5" s="15" t="str">
        <x:f>Raw_SRC_V16C_Repeats!M2</x:f>
        <x:v>(0.05, 0.5, 5.0)</x:v>
      </x:c>
      <x:c r="Y5" s="16" t="n">
        <x:f>Raw_SRC_V16C_Repeats!N2</x:f>
        <x:v>0.6</x:v>
      </x:c>
      <x:c r="Z5" s="15" t="str">
        <x:f>Raw_SRC_V16C_Repeats!O2</x:f>
        <x:v>full</x:v>
      </x:c>
      <x:c r="AA5" s="15" t="str">
        <x:f>Raw_SRC_V16C_Repeats!P2</x:f>
        <x:v>grid_selected_by_val_only_no_test</x:v>
      </x:c>
      <x:c r="AB5" s="15" t="str">
        <x:f>Raw_SRC_V16C_Repeats!R2</x:f>
        <x:v>src_v16c_final_6datasets_repeat_rows.csv</x:v>
      </x:c>
      <x:c r="AC5" s="15" t="n">
        <x:f>Raw_SRC_V16C_Repeats!S2</x:f>
        <x:v>42</x:v>
      </x:c>
    </x:row>
    <x:row r="6" ht="22" customHeight="1">
      <x:c r="A6" s="15" t="str">
        <x:f>Raw_SRC_V16C_Repeats!A3</x:f>
        <x:v>amazon-computers</x:v>
      </x:c>
      <x:c r="B6" s="15" t="str">
        <x:f>"SRC-v16c repeat "&amp;Raw_SRC_V16C_Repeats!B3</x:f>
        <x:v>SRC-v16c repeat 1</x:v>
      </x:c>
      <x:c r="C6" s="15" t="s">
        <x:v>2</x:v>
      </x:c>
      <x:c r="D6" s="15"/>
      <x:c r="E6" s="16"/>
      <x:c r="F6" s="16"/>
      <x:c r="G6" s="16"/>
      <x:c r="H6" s="16"/>
      <x:c r="I6" s="16"/>
      <x:c r="J6" s="16"/>
      <x:c r="K6" s="16"/>
      <x:c r="L6" s="15" t="n">
        <x:f>Raw_SRC_V16C_Repeats!B3</x:f>
        <x:v>1</x:v>
      </x:c>
      <x:c r="M6" s="15" t="n">
        <x:f>Raw_SRC_V16C_Repeats!C3</x:f>
        <x:v>20260420</x:v>
      </x:c>
      <x:c r="N6" s="15" t="n">
        <x:f>Raw_SRC_V16C_Repeats!D3</x:f>
        <x:v>0</x:v>
      </x:c>
      <x:c r="O6" s="15" t="str">
        <x:f>Raw_SRC_V16C_Repeats!E3</x:f>
        <x:v>class_balanced_random_20_train_30_val_per_class</x:v>
      </x:c>
      <x:c r="P6" s="16" t="n">
        <x:f>Raw_SRC_V16C_Repeats!F3*100</x:f>
        <x:v>100</x:v>
      </x:c>
      <x:c r="Q6" s="16" t="n">
        <x:f>Raw_SRC_V16C_Repeats!G3*100</x:f>
        <x:v>86.6666666666667</x:v>
      </x:c>
      <x:c r="R6" s="16" t="n">
        <x:f>Raw_SRC_V16C_Repeats!H3*100</x:f>
        <x:v>80.48596438273469</x:v>
      </x:c>
      <x:c r="S6" s="17" t="n">
        <x:f>Raw_SRC_V16C_Repeats!H3</x:f>
        <x:v>0.804859643827347</x:v>
      </x:c>
      <x:c r="T6" s="16" t="n">
        <x:f>Raw_SRC_V16C_Repeats!I3*100</x:f>
        <x:v>86.6666666666667</x:v>
      </x:c>
      <x:c r="U6" s="15" t="n">
        <x:f>Raw_SRC_V16C_Repeats!J3</x:f>
        <x:v>4000</x:v>
      </x:c>
      <x:c r="V6" s="15" t="n">
        <x:f>Raw_SRC_V16C_Repeats!K3</x:f>
        <x:v>64</x:v>
      </x:c>
      <x:c r="W6" s="16" t="n">
        <x:f>Raw_SRC_V16C_Repeats!L3</x:f>
        <x:v>0.95</x:v>
      </x:c>
      <x:c r="X6" s="15" t="str">
        <x:f>Raw_SRC_V16C_Repeats!M3</x:f>
        <x:v>(0.01, 0.1, 1.0)</x:v>
      </x:c>
      <x:c r="Y6" s="16" t="n">
        <x:f>Raw_SRC_V16C_Repeats!N3</x:f>
        <x:v>0.4</x:v>
      </x:c>
      <x:c r="Z6" s="15" t="str">
        <x:f>Raw_SRC_V16C_Repeats!O3</x:f>
        <x:v>full</x:v>
      </x:c>
      <x:c r="AA6" s="15" t="str">
        <x:f>Raw_SRC_V16C_Repeats!P3</x:f>
        <x:v>grid_selected_by_val_only_no_test</x:v>
      </x:c>
      <x:c r="AB6" s="15" t="str">
        <x:f>Raw_SRC_V16C_Repeats!R3</x:f>
        <x:v>src_v16c_final_6datasets_repeat_rows.csv</x:v>
      </x:c>
      <x:c r="AC6" s="15" t="n">
        <x:f>Raw_SRC_V16C_Repeats!S3</x:f>
        <x:v>43</x:v>
      </x:c>
    </x:row>
    <x:row r="7" ht="22" customHeight="1">
      <x:c r="A7" s="15" t="str">
        <x:f>Raw_SRC_V16C_Repeats!A4</x:f>
        <x:v>amazon-computers</x:v>
      </x:c>
      <x:c r="B7" s="15" t="str">
        <x:f>"SRC-v16c repeat "&amp;Raw_SRC_V16C_Repeats!B4</x:f>
        <x:v>SRC-v16c repeat 2</x:v>
      </x:c>
      <x:c r="C7" s="15" t="s">
        <x:v>2</x:v>
      </x:c>
      <x:c r="D7" s="15"/>
      <x:c r="E7" s="16"/>
      <x:c r="F7" s="16"/>
      <x:c r="G7" s="16"/>
      <x:c r="H7" s="16"/>
      <x:c r="I7" s="16"/>
      <x:c r="J7" s="16"/>
      <x:c r="K7" s="16"/>
      <x:c r="L7" s="15" t="n">
        <x:f>Raw_SRC_V16C_Repeats!B4</x:f>
        <x:v>2</x:v>
      </x:c>
      <x:c r="M7" s="15" t="n">
        <x:f>Raw_SRC_V16C_Repeats!C4</x:f>
        <x:v>20260421</x:v>
      </x:c>
      <x:c r="N7" s="15" t="n">
        <x:f>Raw_SRC_V16C_Repeats!D4</x:f>
        <x:v>0</x:v>
      </x:c>
      <x:c r="O7" s="15" t="str">
        <x:f>Raw_SRC_V16C_Repeats!E4</x:f>
        <x:v>class_balanced_random_20_train_30_val_per_class</x:v>
      </x:c>
      <x:c r="P7" s="16" t="n">
        <x:f>Raw_SRC_V16C_Repeats!F4*100</x:f>
        <x:v>100</x:v>
      </x:c>
      <x:c r="Q7" s="16" t="n">
        <x:f>Raw_SRC_V16C_Repeats!G4*100</x:f>
        <x:v>84.3333333333333</x:v>
      </x:c>
      <x:c r="R7" s="16" t="n">
        <x:f>Raw_SRC_V16C_Repeats!H4*100</x:f>
        <x:v>77.41472985209779</x:v>
      </x:c>
      <x:c r="S7" s="17" t="n">
        <x:f>Raw_SRC_V16C_Repeats!H4</x:f>
        <x:v>0.774147298520978</x:v>
      </x:c>
      <x:c r="T7" s="16" t="n">
        <x:f>Raw_SRC_V16C_Repeats!I4*100</x:f>
        <x:v>84.3333333333333</x:v>
      </x:c>
      <x:c r="U7" s="15" t="n">
        <x:f>Raw_SRC_V16C_Repeats!J4</x:f>
        <x:v>4000</x:v>
      </x:c>
      <x:c r="V7" s="15" t="n">
        <x:f>Raw_SRC_V16C_Repeats!K4</x:f>
        <x:v>64</x:v>
      </x:c>
      <x:c r="W7" s="16" t="n">
        <x:f>Raw_SRC_V16C_Repeats!L4</x:f>
        <x:v>0.99</x:v>
      </x:c>
      <x:c r="X7" s="15" t="str">
        <x:f>Raw_SRC_V16C_Repeats!M4</x:f>
        <x:v>(0.05, 0.5, 5.0)</x:v>
      </x:c>
      <x:c r="Y7" s="16" t="n">
        <x:f>Raw_SRC_V16C_Repeats!N4</x:f>
        <x:v>0.6</x:v>
      </x:c>
      <x:c r="Z7" s="15" t="str">
        <x:f>Raw_SRC_V16C_Repeats!O4</x:f>
        <x:v>full</x:v>
      </x:c>
      <x:c r="AA7" s="15" t="str">
        <x:f>Raw_SRC_V16C_Repeats!P4</x:f>
        <x:v>grid_selected_by_val_only_no_test</x:v>
      </x:c>
      <x:c r="AB7" s="15" t="str">
        <x:f>Raw_SRC_V16C_Repeats!R4</x:f>
        <x:v>src_v16c_final_6datasets_repeat_rows.csv</x:v>
      </x:c>
      <x:c r="AC7" s="15" t="n">
        <x:f>Raw_SRC_V16C_Repeats!S4</x:f>
        <x:v>44</x:v>
      </x:c>
    </x:row>
    <x:row r="8" ht="22" customHeight="1">
      <x:c r="A8" s="15" t="str">
        <x:f>Raw_SRC_V16C_Repeats!A5</x:f>
        <x:v>amazon-computers</x:v>
      </x:c>
      <x:c r="B8" s="15" t="str">
        <x:f>"SRC-v16c repeat "&amp;Raw_SRC_V16C_Repeats!B5</x:f>
        <x:v>SRC-v16c repeat 3</x:v>
      </x:c>
      <x:c r="C8" s="15" t="s">
        <x:v>2</x:v>
      </x:c>
      <x:c r="D8" s="15"/>
      <x:c r="E8" s="16"/>
      <x:c r="F8" s="16"/>
      <x:c r="G8" s="16"/>
      <x:c r="H8" s="16"/>
      <x:c r="I8" s="16"/>
      <x:c r="J8" s="16"/>
      <x:c r="K8" s="16"/>
      <x:c r="L8" s="15" t="n">
        <x:f>Raw_SRC_V16C_Repeats!B5</x:f>
        <x:v>3</x:v>
      </x:c>
      <x:c r="M8" s="15" t="n">
        <x:f>Raw_SRC_V16C_Repeats!C5</x:f>
        <x:v>20260422</x:v>
      </x:c>
      <x:c r="N8" s="15" t="n">
        <x:f>Raw_SRC_V16C_Repeats!D5</x:f>
        <x:v>0</x:v>
      </x:c>
      <x:c r="O8" s="15" t="str">
        <x:f>Raw_SRC_V16C_Repeats!E5</x:f>
        <x:v>class_balanced_random_20_train_30_val_per_class</x:v>
      </x:c>
      <x:c r="P8" s="16" t="n">
        <x:f>Raw_SRC_V16C_Repeats!F5*100</x:f>
        <x:v>100</x:v>
      </x:c>
      <x:c r="Q8" s="16" t="n">
        <x:f>Raw_SRC_V16C_Repeats!G5*100</x:f>
        <x:v>86</x:v>
      </x:c>
      <x:c r="R8" s="16" t="n">
        <x:f>Raw_SRC_V16C_Repeats!H5*100</x:f>
        <x:v>79.6030787805614</x:v>
      </x:c>
      <x:c r="S8" s="17" t="n">
        <x:f>Raw_SRC_V16C_Repeats!H5</x:f>
        <x:v>0.796030787805614</x:v>
      </x:c>
      <x:c r="T8" s="16" t="n">
        <x:f>Raw_SRC_V16C_Repeats!I5*100</x:f>
        <x:v>86</x:v>
      </x:c>
      <x:c r="U8" s="15" t="n">
        <x:f>Raw_SRC_V16C_Repeats!J5</x:f>
        <x:v>4000</x:v>
      </x:c>
      <x:c r="V8" s="15" t="n">
        <x:f>Raw_SRC_V16C_Repeats!K5</x:f>
        <x:v>64</x:v>
      </x:c>
      <x:c r="W8" s="16" t="n">
        <x:f>Raw_SRC_V16C_Repeats!L5</x:f>
        <x:v>0.95</x:v>
      </x:c>
      <x:c r="X8" s="15" t="str">
        <x:f>Raw_SRC_V16C_Repeats!M5</x:f>
        <x:v>(0.01, 0.1, 1.0)</x:v>
      </x:c>
      <x:c r="Y8" s="16" t="n">
        <x:f>Raw_SRC_V16C_Repeats!N5</x:f>
        <x:v>0.6</x:v>
      </x:c>
      <x:c r="Z8" s="15" t="str">
        <x:f>Raw_SRC_V16C_Repeats!O5</x:f>
        <x:v>full</x:v>
      </x:c>
      <x:c r="AA8" s="15" t="str">
        <x:f>Raw_SRC_V16C_Repeats!P5</x:f>
        <x:v>grid_selected_by_val_only_no_test</x:v>
      </x:c>
      <x:c r="AB8" s="15" t="str">
        <x:f>Raw_SRC_V16C_Repeats!R5</x:f>
        <x:v>src_v16c_final_6datasets_repeat_rows.csv</x:v>
      </x:c>
      <x:c r="AC8" s="15" t="n">
        <x:f>Raw_SRC_V16C_Repeats!S5</x:f>
        <x:v>45</x:v>
      </x:c>
    </x:row>
    <x:row r="9" ht="22" customHeight="1">
      <x:c r="A9" s="15" t="str">
        <x:f>Raw_SRC_V16C_Repeats!A6</x:f>
        <x:v>amazon-computers</x:v>
      </x:c>
      <x:c r="B9" s="15" t="str">
        <x:f>"SRC-v16c repeat "&amp;Raw_SRC_V16C_Repeats!B6</x:f>
        <x:v>SRC-v16c repeat 4</x:v>
      </x:c>
      <x:c r="C9" s="15" t="s">
        <x:v>2</x:v>
      </x:c>
      <x:c r="D9" s="15"/>
      <x:c r="E9" s="16"/>
      <x:c r="F9" s="16"/>
      <x:c r="G9" s="16"/>
      <x:c r="H9" s="16"/>
      <x:c r="I9" s="16"/>
      <x:c r="J9" s="16"/>
      <x:c r="K9" s="16"/>
      <x:c r="L9" s="15" t="n">
        <x:f>Raw_SRC_V16C_Repeats!B6</x:f>
        <x:v>4</x:v>
      </x:c>
      <x:c r="M9" s="15" t="n">
        <x:f>Raw_SRC_V16C_Repeats!C6</x:f>
        <x:v>20260423</x:v>
      </x:c>
      <x:c r="N9" s="15" t="n">
        <x:f>Raw_SRC_V16C_Repeats!D6</x:f>
        <x:v>0</x:v>
      </x:c>
      <x:c r="O9" s="15" t="str">
        <x:f>Raw_SRC_V16C_Repeats!E6</x:f>
        <x:v>class_balanced_random_20_train_30_val_per_class</x:v>
      </x:c>
      <x:c r="P9" s="16" t="n">
        <x:f>Raw_SRC_V16C_Repeats!F6*100</x:f>
        <x:v>100</x:v>
      </x:c>
      <x:c r="Q9" s="16" t="n">
        <x:f>Raw_SRC_V16C_Repeats!G6*100</x:f>
        <x:v>86</x:v>
      </x:c>
      <x:c r="R9" s="16" t="n">
        <x:f>Raw_SRC_V16C_Repeats!H6*100</x:f>
        <x:v>79.0220344099004</x:v>
      </x:c>
      <x:c r="S9" s="17" t="n">
        <x:f>Raw_SRC_V16C_Repeats!H6</x:f>
        <x:v>0.790220344099004</x:v>
      </x:c>
      <x:c r="T9" s="16" t="n">
        <x:f>Raw_SRC_V16C_Repeats!I6*100</x:f>
        <x:v>86</x:v>
      </x:c>
      <x:c r="U9" s="15" t="n">
        <x:f>Raw_SRC_V16C_Repeats!J6</x:f>
        <x:v>4000</x:v>
      </x:c>
      <x:c r="V9" s="15" t="n">
        <x:f>Raw_SRC_V16C_Repeats!K6</x:f>
        <x:v>64</x:v>
      </x:c>
      <x:c r="W9" s="16" t="n">
        <x:f>Raw_SRC_V16C_Repeats!L6</x:f>
        <x:v>0.95</x:v>
      </x:c>
      <x:c r="X9" s="15" t="str">
        <x:f>Raw_SRC_V16C_Repeats!M6</x:f>
        <x:v>(0.01, 0.1, 1.0)</x:v>
      </x:c>
      <x:c r="Y9" s="16" t="n">
        <x:f>Raw_SRC_V16C_Repeats!N6</x:f>
        <x:v>0.4</x:v>
      </x:c>
      <x:c r="Z9" s="15" t="str">
        <x:f>Raw_SRC_V16C_Repeats!O6</x:f>
        <x:v>full</x:v>
      </x:c>
      <x:c r="AA9" s="15" t="str">
        <x:f>Raw_SRC_V16C_Repeats!P6</x:f>
        <x:v>grid_selected_by_val_only_no_test</x:v>
      </x:c>
      <x:c r="AB9" s="15" t="str">
        <x:f>Raw_SRC_V16C_Repeats!R6</x:f>
        <x:v>src_v16c_final_6datasets_repeat_rows.csv</x:v>
      </x:c>
      <x:c r="AC9" s="15" t="n">
        <x:f>Raw_SRC_V16C_Repeats!S6</x:f>
        <x:v>46</x:v>
      </x:c>
    </x:row>
    <x:row r="10" ht="22" customHeight="1">
      <x:c r="A10" s="15" t="str">
        <x:f>Raw_SRC_V16C_Repeats!A7</x:f>
        <x:v>amazon-computers</x:v>
      </x:c>
      <x:c r="B10" s="15" t="str">
        <x:f>"SRC-v16c repeat "&amp;Raw_SRC_V16C_Repeats!B7</x:f>
        <x:v>SRC-v16c repeat 5</x:v>
      </x:c>
      <x:c r="C10" s="15" t="s">
        <x:v>2</x:v>
      </x:c>
      <x:c r="D10" s="15"/>
      <x:c r="E10" s="16"/>
      <x:c r="F10" s="16"/>
      <x:c r="G10" s="16"/>
      <x:c r="H10" s="16"/>
      <x:c r="I10" s="16"/>
      <x:c r="J10" s="16"/>
      <x:c r="K10" s="16"/>
      <x:c r="L10" s="15" t="n">
        <x:f>Raw_SRC_V16C_Repeats!B7</x:f>
        <x:v>5</x:v>
      </x:c>
      <x:c r="M10" s="15" t="n">
        <x:f>Raw_SRC_V16C_Repeats!C7</x:f>
        <x:v>20260424</x:v>
      </x:c>
      <x:c r="N10" s="15" t="n">
        <x:f>Raw_SRC_V16C_Repeats!D7</x:f>
        <x:v>0</x:v>
      </x:c>
      <x:c r="O10" s="15" t="str">
        <x:f>Raw_SRC_V16C_Repeats!E7</x:f>
        <x:v>class_balanced_random_20_train_30_val_per_class</x:v>
      </x:c>
      <x:c r="P10" s="16" t="n">
        <x:f>Raw_SRC_V16C_Repeats!F7*100</x:f>
        <x:v>100</x:v>
      </x:c>
      <x:c r="Q10" s="16" t="n">
        <x:f>Raw_SRC_V16C_Repeats!G7*100</x:f>
        <x:v>84.6666666666667</x:v>
      </x:c>
      <x:c r="R10" s="16" t="n">
        <x:f>Raw_SRC_V16C_Repeats!H7*100</x:f>
        <x:v>79.0144883791126</x:v>
      </x:c>
      <x:c r="S10" s="17" t="n">
        <x:f>Raw_SRC_V16C_Repeats!H7</x:f>
        <x:v>0.790144883791126</x:v>
      </x:c>
      <x:c r="T10" s="16" t="n">
        <x:f>Raw_SRC_V16C_Repeats!I7*100</x:f>
        <x:v>84.6666666666667</x:v>
      </x:c>
      <x:c r="U10" s="15" t="n">
        <x:f>Raw_SRC_V16C_Repeats!J7</x:f>
        <x:v>4000</x:v>
      </x:c>
      <x:c r="V10" s="15" t="n">
        <x:f>Raw_SRC_V16C_Repeats!K7</x:f>
        <x:v>64</x:v>
      </x:c>
      <x:c r="W10" s="16" t="n">
        <x:f>Raw_SRC_V16C_Repeats!L7</x:f>
        <x:v>0.95</x:v>
      </x:c>
      <x:c r="X10" s="15" t="str">
        <x:f>Raw_SRC_V16C_Repeats!M7</x:f>
        <x:v>(0.01, 0.1, 1.0)</x:v>
      </x:c>
      <x:c r="Y10" s="16" t="n">
        <x:f>Raw_SRC_V16C_Repeats!N7</x:f>
        <x:v>0.4</x:v>
      </x:c>
      <x:c r="Z10" s="15" t="str">
        <x:f>Raw_SRC_V16C_Repeats!O7</x:f>
        <x:v>full</x:v>
      </x:c>
      <x:c r="AA10" s="15" t="str">
        <x:f>Raw_SRC_V16C_Repeats!P7</x:f>
        <x:v>grid_selected_by_val_only_no_test</x:v>
      </x:c>
      <x:c r="AB10" s="15" t="str">
        <x:f>Raw_SRC_V16C_Repeats!R7</x:f>
        <x:v>src_v16c_final_6datasets_repeat_rows.csv</x:v>
      </x:c>
      <x:c r="AC10" s="15" t="n">
        <x:f>Raw_SRC_V16C_Repeats!S7</x:f>
        <x:v>47</x:v>
      </x:c>
    </x:row>
    <x:row r="11" ht="22" customHeight="1">
      <x:c r="A11" s="15" t="str">
        <x:f>Raw_SRC_V16C_Repeats!A8</x:f>
        <x:v>amazon-computers</x:v>
      </x:c>
      <x:c r="B11" s="15" t="str">
        <x:f>"SRC-v16c repeat "&amp;Raw_SRC_V16C_Repeats!B8</x:f>
        <x:v>SRC-v16c repeat 6</x:v>
      </x:c>
      <x:c r="C11" s="15" t="s">
        <x:v>2</x:v>
      </x:c>
      <x:c r="D11" s="15"/>
      <x:c r="E11" s="16"/>
      <x:c r="F11" s="16"/>
      <x:c r="G11" s="16"/>
      <x:c r="H11" s="16"/>
      <x:c r="I11" s="16"/>
      <x:c r="J11" s="16"/>
      <x:c r="K11" s="16"/>
      <x:c r="L11" s="15" t="n">
        <x:f>Raw_SRC_V16C_Repeats!B8</x:f>
        <x:v>6</x:v>
      </x:c>
      <x:c r="M11" s="15" t="n">
        <x:f>Raw_SRC_V16C_Repeats!C8</x:f>
        <x:v>20260425</x:v>
      </x:c>
      <x:c r="N11" s="15" t="n">
        <x:f>Raw_SRC_V16C_Repeats!D8</x:f>
        <x:v>0</x:v>
      </x:c>
      <x:c r="O11" s="15" t="str">
        <x:f>Raw_SRC_V16C_Repeats!E8</x:f>
        <x:v>class_balanced_random_20_train_30_val_per_class</x:v>
      </x:c>
      <x:c r="P11" s="16" t="n">
        <x:f>Raw_SRC_V16C_Repeats!F8*100</x:f>
        <x:v>100</x:v>
      </x:c>
      <x:c r="Q11" s="16" t="n">
        <x:f>Raw_SRC_V16C_Repeats!G8*100</x:f>
        <x:v>86</x:v>
      </x:c>
      <x:c r="R11" s="16" t="n">
        <x:f>Raw_SRC_V16C_Repeats!H8*100</x:f>
        <x:v>78.7730153939028</x:v>
      </x:c>
      <x:c r="S11" s="17" t="n">
        <x:f>Raw_SRC_V16C_Repeats!H8</x:f>
        <x:v>0.787730153939028</x:v>
      </x:c>
      <x:c r="T11" s="16" t="n">
        <x:f>Raw_SRC_V16C_Repeats!I8*100</x:f>
        <x:v>86</x:v>
      </x:c>
      <x:c r="U11" s="15" t="n">
        <x:f>Raw_SRC_V16C_Repeats!J8</x:f>
        <x:v>4000</x:v>
      </x:c>
      <x:c r="V11" s="15" t="n">
        <x:f>Raw_SRC_V16C_Repeats!K8</x:f>
        <x:v>64</x:v>
      </x:c>
      <x:c r="W11" s="16" t="n">
        <x:f>Raw_SRC_V16C_Repeats!L8</x:f>
        <x:v>0.95</x:v>
      </x:c>
      <x:c r="X11" s="15" t="str">
        <x:f>Raw_SRC_V16C_Repeats!M8</x:f>
        <x:v>(0.01, 0.1, 1.0)</x:v>
      </x:c>
      <x:c r="Y11" s="16" t="n">
        <x:f>Raw_SRC_V16C_Repeats!N8</x:f>
        <x:v>0.4</x:v>
      </x:c>
      <x:c r="Z11" s="15" t="str">
        <x:f>Raw_SRC_V16C_Repeats!O8</x:f>
        <x:v>full</x:v>
      </x:c>
      <x:c r="AA11" s="15" t="str">
        <x:f>Raw_SRC_V16C_Repeats!P8</x:f>
        <x:v>grid_selected_by_val_only_no_test</x:v>
      </x:c>
      <x:c r="AB11" s="15" t="str">
        <x:f>Raw_SRC_V16C_Repeats!R8</x:f>
        <x:v>src_v16c_final_6datasets_repeat_rows.csv</x:v>
      </x:c>
      <x:c r="AC11" s="15" t="n">
        <x:f>Raw_SRC_V16C_Repeats!S8</x:f>
        <x:v>48</x:v>
      </x:c>
    </x:row>
    <x:row r="12" ht="22" customHeight="1">
      <x:c r="A12" s="15" t="str">
        <x:f>Raw_SRC_V16C_Repeats!A9</x:f>
        <x:v>amazon-computers</x:v>
      </x:c>
      <x:c r="B12" s="15" t="str">
        <x:f>"SRC-v16c repeat "&amp;Raw_SRC_V16C_Repeats!B9</x:f>
        <x:v>SRC-v16c repeat 7</x:v>
      </x:c>
      <x:c r="C12" s="15" t="s">
        <x:v>2</x:v>
      </x:c>
      <x:c r="D12" s="15"/>
      <x:c r="E12" s="16"/>
      <x:c r="F12" s="16"/>
      <x:c r="G12" s="16"/>
      <x:c r="H12" s="16"/>
      <x:c r="I12" s="16"/>
      <x:c r="J12" s="16"/>
      <x:c r="K12" s="16"/>
      <x:c r="L12" s="15" t="n">
        <x:f>Raw_SRC_V16C_Repeats!B9</x:f>
        <x:v>7</x:v>
      </x:c>
      <x:c r="M12" s="15" t="n">
        <x:f>Raw_SRC_V16C_Repeats!C9</x:f>
        <x:v>20260426</x:v>
      </x:c>
      <x:c r="N12" s="15" t="n">
        <x:f>Raw_SRC_V16C_Repeats!D9</x:f>
        <x:v>0</x:v>
      </x:c>
      <x:c r="O12" s="15" t="str">
        <x:f>Raw_SRC_V16C_Repeats!E9</x:f>
        <x:v>class_balanced_random_20_train_30_val_per_class</x:v>
      </x:c>
      <x:c r="P12" s="16" t="n">
        <x:f>Raw_SRC_V16C_Repeats!F9*100</x:f>
        <x:v>100</x:v>
      </x:c>
      <x:c r="Q12" s="16" t="n">
        <x:f>Raw_SRC_V16C_Repeats!G9*100</x:f>
        <x:v>85.3333333333333</x:v>
      </x:c>
      <x:c r="R12" s="16" t="n">
        <x:f>Raw_SRC_V16C_Repeats!H9*100</x:f>
        <x:v>80.1162088741322</x:v>
      </x:c>
      <x:c r="S12" s="17" t="n">
        <x:f>Raw_SRC_V16C_Repeats!H9</x:f>
        <x:v>0.801162088741322</x:v>
      </x:c>
      <x:c r="T12" s="16" t="n">
        <x:f>Raw_SRC_V16C_Repeats!I9*100</x:f>
        <x:v>85.3333333333333</x:v>
      </x:c>
      <x:c r="U12" s="15" t="n">
        <x:f>Raw_SRC_V16C_Repeats!J9</x:f>
        <x:v>4000</x:v>
      </x:c>
      <x:c r="V12" s="15" t="n">
        <x:f>Raw_SRC_V16C_Repeats!K9</x:f>
        <x:v>64</x:v>
      </x:c>
      <x:c r="W12" s="16" t="n">
        <x:f>Raw_SRC_V16C_Repeats!L9</x:f>
        <x:v>0.95</x:v>
      </x:c>
      <x:c r="X12" s="15" t="str">
        <x:f>Raw_SRC_V16C_Repeats!M9</x:f>
        <x:v>(0.01, 0.1, 1.0)</x:v>
      </x:c>
      <x:c r="Y12" s="16" t="n">
        <x:f>Raw_SRC_V16C_Repeats!N9</x:f>
        <x:v>0.4</x:v>
      </x:c>
      <x:c r="Z12" s="15" t="str">
        <x:f>Raw_SRC_V16C_Repeats!O9</x:f>
        <x:v>full</x:v>
      </x:c>
      <x:c r="AA12" s="15" t="str">
        <x:f>Raw_SRC_V16C_Repeats!P9</x:f>
        <x:v>grid_selected_by_val_only_no_test</x:v>
      </x:c>
      <x:c r="AB12" s="15" t="str">
        <x:f>Raw_SRC_V16C_Repeats!R9</x:f>
        <x:v>src_v16c_final_6datasets_repeat_rows.csv</x:v>
      </x:c>
      <x:c r="AC12" s="15" t="n">
        <x:f>Raw_SRC_V16C_Repeats!S9</x:f>
        <x:v>49</x:v>
      </x:c>
    </x:row>
    <x:row r="13" ht="22" customHeight="1">
      <x:c r="A13" s="15" t="str">
        <x:f>Raw_SRC_V16C_Repeats!A10</x:f>
        <x:v>amazon-computers</x:v>
      </x:c>
      <x:c r="B13" s="15" t="str">
        <x:f>"SRC-v16c repeat "&amp;Raw_SRC_V16C_Repeats!B10</x:f>
        <x:v>SRC-v16c repeat 8</x:v>
      </x:c>
      <x:c r="C13" s="15" t="s">
        <x:v>2</x:v>
      </x:c>
      <x:c r="D13" s="15"/>
      <x:c r="E13" s="16"/>
      <x:c r="F13" s="16"/>
      <x:c r="G13" s="16"/>
      <x:c r="H13" s="16"/>
      <x:c r="I13" s="16"/>
      <x:c r="J13" s="16"/>
      <x:c r="K13" s="16"/>
      <x:c r="L13" s="15" t="n">
        <x:f>Raw_SRC_V16C_Repeats!B10</x:f>
        <x:v>8</x:v>
      </x:c>
      <x:c r="M13" s="15" t="n">
        <x:f>Raw_SRC_V16C_Repeats!C10</x:f>
        <x:v>20260427</x:v>
      </x:c>
      <x:c r="N13" s="15" t="n">
        <x:f>Raw_SRC_V16C_Repeats!D10</x:f>
        <x:v>0</x:v>
      </x:c>
      <x:c r="O13" s="15" t="str">
        <x:f>Raw_SRC_V16C_Repeats!E10</x:f>
        <x:v>class_balanced_random_20_train_30_val_per_class</x:v>
      </x:c>
      <x:c r="P13" s="16" t="n">
        <x:f>Raw_SRC_V16C_Repeats!F10*100</x:f>
        <x:v>100</x:v>
      </x:c>
      <x:c r="Q13" s="16" t="n">
        <x:f>Raw_SRC_V16C_Repeats!G10*100</x:f>
        <x:v>87.3333333333333</x:v>
      </x:c>
      <x:c r="R13" s="16" t="n">
        <x:f>Raw_SRC_V16C_Repeats!H10*100</x:f>
        <x:v>77.210987020827</x:v>
      </x:c>
      <x:c r="S13" s="17" t="n">
        <x:f>Raw_SRC_V16C_Repeats!H10</x:f>
        <x:v>0.77210987020827</x:v>
      </x:c>
      <x:c r="T13" s="16" t="n">
        <x:f>Raw_SRC_V16C_Repeats!I10*100</x:f>
        <x:v>87.3333333333333</x:v>
      </x:c>
      <x:c r="U13" s="15" t="n">
        <x:f>Raw_SRC_V16C_Repeats!J10</x:f>
        <x:v>4000</x:v>
      </x:c>
      <x:c r="V13" s="15" t="n">
        <x:f>Raw_SRC_V16C_Repeats!K10</x:f>
        <x:v>64</x:v>
      </x:c>
      <x:c r="W13" s="16" t="n">
        <x:f>Raw_SRC_V16C_Repeats!L10</x:f>
        <x:v>0.95</x:v>
      </x:c>
      <x:c r="X13" s="15" t="str">
        <x:f>Raw_SRC_V16C_Repeats!M10</x:f>
        <x:v>(0.01, 0.1, 1.0)</x:v>
      </x:c>
      <x:c r="Y13" s="16" t="n">
        <x:f>Raw_SRC_V16C_Repeats!N10</x:f>
        <x:v>0.6</x:v>
      </x:c>
      <x:c r="Z13" s="15" t="str">
        <x:f>Raw_SRC_V16C_Repeats!O10</x:f>
        <x:v>full</x:v>
      </x:c>
      <x:c r="AA13" s="15" t="str">
        <x:f>Raw_SRC_V16C_Repeats!P10</x:f>
        <x:v>grid_selected_by_val_only_no_test</x:v>
      </x:c>
      <x:c r="AB13" s="15" t="str">
        <x:f>Raw_SRC_V16C_Repeats!R10</x:f>
        <x:v>src_v16c_final_6datasets_repeat_rows.csv</x:v>
      </x:c>
      <x:c r="AC13" s="15" t="n">
        <x:f>Raw_SRC_V16C_Repeats!S10</x:f>
        <x:v>50</x:v>
      </x:c>
    </x:row>
    <x:row r="14" ht="22" customHeight="1">
      <x:c r="A14" s="15" t="str">
        <x:f>Raw_SRC_V16C_Repeats!A11</x:f>
        <x:v>amazon-computers</x:v>
      </x:c>
      <x:c r="B14" s="15" t="str">
        <x:f>"SRC-v16c repeat "&amp;Raw_SRC_V16C_Repeats!B11</x:f>
        <x:v>SRC-v16c repeat 9</x:v>
      </x:c>
      <x:c r="C14" s="15" t="s">
        <x:v>2</x:v>
      </x:c>
      <x:c r="D14" s="15"/>
      <x:c r="E14" s="16"/>
      <x:c r="F14" s="16"/>
      <x:c r="G14" s="16"/>
      <x:c r="H14" s="16"/>
      <x:c r="I14" s="16"/>
      <x:c r="J14" s="16"/>
      <x:c r="K14" s="16"/>
      <x:c r="L14" s="15" t="n">
        <x:f>Raw_SRC_V16C_Repeats!B11</x:f>
        <x:v>9</x:v>
      </x:c>
      <x:c r="M14" s="15" t="n">
        <x:f>Raw_SRC_V16C_Repeats!C11</x:f>
        <x:v>20260428</x:v>
      </x:c>
      <x:c r="N14" s="15" t="n">
        <x:f>Raw_SRC_V16C_Repeats!D11</x:f>
        <x:v>0</x:v>
      </x:c>
      <x:c r="O14" s="15" t="str">
        <x:f>Raw_SRC_V16C_Repeats!E11</x:f>
        <x:v>class_balanced_random_20_train_30_val_per_class</x:v>
      </x:c>
      <x:c r="P14" s="16" t="n">
        <x:f>Raw_SRC_V16C_Repeats!F11*100</x:f>
        <x:v>100</x:v>
      </x:c>
      <x:c r="Q14" s="16" t="n">
        <x:f>Raw_SRC_V16C_Repeats!G11*100</x:f>
        <x:v>83</x:v>
      </x:c>
      <x:c r="R14" s="16" t="n">
        <x:f>Raw_SRC_V16C_Repeats!H11*100</x:f>
        <x:v>77.8373075762149</x:v>
      </x:c>
      <x:c r="S14" s="17" t="n">
        <x:f>Raw_SRC_V16C_Repeats!H11</x:f>
        <x:v>0.778373075762149</x:v>
      </x:c>
      <x:c r="T14" s="16" t="n">
        <x:f>Raw_SRC_V16C_Repeats!I11*100</x:f>
        <x:v>83</x:v>
      </x:c>
      <x:c r="U14" s="15" t="n">
        <x:f>Raw_SRC_V16C_Repeats!J11</x:f>
        <x:v>4000</x:v>
      </x:c>
      <x:c r="V14" s="15" t="n">
        <x:f>Raw_SRC_V16C_Repeats!K11</x:f>
        <x:v>64</x:v>
      </x:c>
      <x:c r="W14" s="16" t="n">
        <x:f>Raw_SRC_V16C_Repeats!L11</x:f>
        <x:v>0.95</x:v>
      </x:c>
      <x:c r="X14" s="15" t="str">
        <x:f>Raw_SRC_V16C_Repeats!M11</x:f>
        <x:v>(0.01, 0.1, 1.0)</x:v>
      </x:c>
      <x:c r="Y14" s="16" t="n">
        <x:f>Raw_SRC_V16C_Repeats!N11</x:f>
        <x:v>0.6</x:v>
      </x:c>
      <x:c r="Z14" s="15" t="str">
        <x:f>Raw_SRC_V16C_Repeats!O11</x:f>
        <x:v>full</x:v>
      </x:c>
      <x:c r="AA14" s="15" t="str">
        <x:f>Raw_SRC_V16C_Repeats!P11</x:f>
        <x:v>grid_selected_by_val_only_no_test</x:v>
      </x:c>
      <x:c r="AB14" s="15" t="str">
        <x:f>Raw_SRC_V16C_Repeats!R11</x:f>
        <x:v>src_v16c_final_6datasets_repeat_rows.csv</x:v>
      </x:c>
      <x:c r="AC14" s="15" t="n">
        <x:f>Raw_SRC_V16C_Repeats!S11</x:f>
        <x:v>51</x:v>
      </x:c>
    </x:row>
    <x:row r="15" ht="22" customHeight="1">
      <x:c r="A15" s="2"/>
      <x:c r="B15" s="2"/>
      <x:c r="C15" s="2"/>
      <x:c r="D15" s="2"/>
      <x:c r="E15" s="18"/>
      <x:c r="F15" s="18"/>
      <x:c r="G15" s="18"/>
      <x:c r="H15" s="18"/>
      <x:c r="I15" s="18"/>
      <x:c r="J15" s="18"/>
      <x:c r="K15" s="18"/>
      <x:c r="L15" s="2"/>
      <x:c r="M15" s="2"/>
      <x:c r="N15" s="2"/>
      <x:c r="O15" s="2"/>
      <x:c r="P15" s="18"/>
      <x:c r="Q15" s="18"/>
      <x:c r="R15" s="18"/>
      <x:c r="S15" s="19"/>
      <x:c r="T15" s="18"/>
      <x:c r="U15" s="2"/>
      <x:c r="V15" s="2"/>
      <x:c r="W15" s="18"/>
      <x:c r="X15" s="2"/>
      <x:c r="Y15" s="18"/>
      <x:c r="Z15" s="2"/>
      <x:c r="AA15" s="2"/>
      <x:c r="AB15" s="2"/>
      <x:c r="AC15" s="2"/>
    </x:row>
    <x:row r="16" ht="22" customHeight="1">
      <x:c r="A16" s="6" t="s">
        <x:v>103</x:v>
      </x:c>
    </x:row>
    <x:row r="17" ht="22" customHeight="1">
      <x:c r="A17" s="7" t="s">
        <x:v>36</x:v>
      </x:c>
      <x:c r="B17" s="7" t="s">
        <x:v>99</x:v>
      </x:c>
      <x:c r="C17" s="7" t="str">
        <x:v>GraphSAGE</x:v>
      </x:c>
      <x:c r="D17" s="8" t="n">
        <x:f>COUNT(Raw_Strongest_Baseline_Repeats!H12:H21)</x:f>
        <x:v>10</x:v>
      </x:c>
      <x:c r="E17" s="9" t="n">
        <x:f>AVERAGE(Raw_Strongest_Baseline_Repeats!F12:F21)*100</x:f>
        <x:v>98.43749940395355</x:v>
      </x:c>
      <x:c r="F17" s="9" t="n">
        <x:f>_xlfn.STDEV.S(Raw_Strongest_Baseline_Repeats!F12:F21)*100</x:f>
        <x:v>1.2926743061045267</x:v>
      </x:c>
      <x:c r="G17" s="9" t="n">
        <x:f>AVERAGE(Raw_Strongest_Baseline_Repeats!G12:G21)*100</x:f>
        <x:v>91.16666734218597</x:v>
      </x:c>
      <x:c r="H17" s="9" t="n">
        <x:f>_xlfn.STDEV.S(Raw_Strongest_Baseline_Repeats!G12:G21)*100</x:f>
        <x:v>1.329277126153532</x:v>
      </x:c>
      <x:c r="I17" s="9" t="n">
        <x:f>AVERAGE(Raw_Strongest_Baseline_Repeats!H12:H21)*100</x:f>
        <x:v>88.36965441703796</x:v>
      </x:c>
      <x:c r="J17" s="9" t="n">
        <x:f>_xlfn.STDEV.S(Raw_Strongest_Baseline_Repeats!H12:H21)*100</x:f>
        <x:v>1.8645119150715668</x:v>
      </x:c>
      <x:c r="K17" s="9"/>
      <x:c r="L17" s="8"/>
      <x:c r="M17" s="8"/>
      <x:c r="N17" s="8"/>
      <x:c r="O17" s="8"/>
      <x:c r="P17" s="9"/>
      <x:c r="Q17" s="9"/>
      <x:c r="R17" s="9"/>
      <x:c r="S17" s="10"/>
      <x:c r="T17" s="9"/>
      <x:c r="U17" s="8"/>
      <x:c r="V17" s="8"/>
      <x:c r="W17" s="9"/>
      <x:c r="X17" s="8"/>
      <x:c r="Y17" s="9"/>
      <x:c r="Z17" s="8"/>
      <x:c r="AA17" s="8"/>
      <x:c r="AB17" s="8" t="str">
        <x:v>strongest_baseline_repeats_merged.csv</x:v>
      </x:c>
      <x:c r="AC17" s="8" t="str">
        <x:v>rows 12-21 in Raw_Strongest_Baseline_Repeats</x:v>
      </x:c>
    </x:row>
    <x:row r="18" ht="22" customHeight="1">
      <x:c r="A18" s="11" t="s">
        <x:v>36</x:v>
      </x:c>
      <x:c r="B18" s="11" t="s">
        <x:v>100</x:v>
      </x:c>
      <x:c r="C18" s="11" t="s">
        <x:v>2</x:v>
      </x:c>
      <x:c r="D18" s="12" t="n">
        <x:f>COUNT(Raw_SRC_V16C_Repeats!H12:H21)</x:f>
        <x:v>10</x:v>
      </x:c>
      <x:c r="E18" s="13" t="n">
        <x:f>AVERAGE(Raw_SRC_V16C_Repeats!F12:F21)*100</x:f>
        <x:v>100</x:v>
      </x:c>
      <x:c r="F18" s="13" t="n">
        <x:f>_xlfn.STDEV.S(Raw_SRC_V16C_Repeats!F12:F21)*100</x:f>
        <x:v>0</x:v>
      </x:c>
      <x:c r="G18" s="13" t="n">
        <x:f>AVERAGE(Raw_SRC_V16C_Repeats!G12:G21)*100</x:f>
        <x:v>91.66666666666666</x:v>
      </x:c>
      <x:c r="H18" s="13" t="n">
        <x:f>_xlfn.STDEV.S(Raw_SRC_V16C_Repeats!G12:G21)*100</x:f>
        <x:v>2.2047927592204664</x:v>
      </x:c>
      <x:c r="I18" s="13" t="n">
        <x:f>AVERAGE(Raw_SRC_V16C_Repeats!H12:H21)*100</x:f>
        <x:v>88.75999999999999</x:v>
      </x:c>
      <x:c r="J18" s="13" t="n">
        <x:f>_xlfn.STDEV.S(Raw_SRC_V16C_Repeats!H12:H21)*100</x:f>
        <x:v>1.3532784870439043</x:v>
      </x:c>
      <x:c r="K18" s="13" t="n">
        <x:f>I18-I17</x:f>
        <x:v>0.39034558296202704</x:v>
      </x:c>
      <x:c r="L18" s="12"/>
      <x:c r="M18" s="12"/>
      <x:c r="N18" s="12"/>
      <x:c r="O18" s="12"/>
      <x:c r="P18" s="13"/>
      <x:c r="Q18" s="13"/>
      <x:c r="R18" s="13"/>
      <x:c r="S18" s="14"/>
      <x:c r="T18" s="13"/>
      <x:c r="U18" s="12"/>
      <x:c r="V18" s="12"/>
      <x:c r="W18" s="13"/>
      <x:c r="X18" s="12"/>
      <x:c r="Y18" s="13"/>
      <x:c r="Z18" s="12"/>
      <x:c r="AA18" s="12"/>
      <x:c r="AB18" s="12" t="s">
        <x:v>101</x:v>
      </x:c>
      <x:c r="AC18" s="12" t="s">
        <x:v>104</x:v>
      </x:c>
    </x:row>
    <x:row r="19" ht="22" customHeight="1">
      <x:c r="A19" s="15" t="str">
        <x:f>Raw_SRC_V16C_Repeats!A12</x:f>
        <x:v>amazon-photo</x:v>
      </x:c>
      <x:c r="B19" s="15" t="str">
        <x:f>"SRC-v16c repeat "&amp;Raw_SRC_V16C_Repeats!B12</x:f>
        <x:v>SRC-v16c repeat 0</x:v>
      </x:c>
      <x:c r="C19" s="15" t="s">
        <x:v>2</x:v>
      </x:c>
      <x:c r="D19" s="15"/>
      <x:c r="E19" s="16"/>
      <x:c r="F19" s="16"/>
      <x:c r="G19" s="16"/>
      <x:c r="H19" s="16"/>
      <x:c r="I19" s="16"/>
      <x:c r="J19" s="16"/>
      <x:c r="K19" s="16"/>
      <x:c r="L19" s="15" t="n">
        <x:f>Raw_SRC_V16C_Repeats!B12</x:f>
        <x:v>0</x:v>
      </x:c>
      <x:c r="M19" s="15" t="n">
        <x:f>Raw_SRC_V16C_Repeats!C12</x:f>
        <x:v>20260419</x:v>
      </x:c>
      <x:c r="N19" s="15" t="n">
        <x:f>Raw_SRC_V16C_Repeats!D12</x:f>
        <x:v>0</x:v>
      </x:c>
      <x:c r="O19" s="15" t="str">
        <x:f>Raw_SRC_V16C_Repeats!E12</x:f>
        <x:v>class_balanced_random_20_train_30_val_per_class</x:v>
      </x:c>
      <x:c r="P19" s="16" t="n">
        <x:f>Raw_SRC_V16C_Repeats!F12*100</x:f>
        <x:v>100</x:v>
      </x:c>
      <x:c r="Q19" s="16" t="n">
        <x:f>Raw_SRC_V16C_Repeats!G12*100</x:f>
        <x:v>92.5</x:v>
      </x:c>
      <x:c r="R19" s="16" t="n">
        <x:f>Raw_SRC_V16C_Repeats!H12*100</x:f>
        <x:v>88.6758620689655</x:v>
      </x:c>
      <x:c r="S19" s="17" t="n">
        <x:f>Raw_SRC_V16C_Repeats!H12</x:f>
        <x:v>0.886758620689655</x:v>
      </x:c>
      <x:c r="T19" s="16" t="n">
        <x:f>Raw_SRC_V16C_Repeats!I12*100</x:f>
        <x:v>92.5</x:v>
      </x:c>
      <x:c r="U19" s="15" t="n">
        <x:f>Raw_SRC_V16C_Repeats!J12</x:f>
        <x:v>4000</x:v>
      </x:c>
      <x:c r="V19" s="15" t="n">
        <x:f>Raw_SRC_V16C_Repeats!K12</x:f>
        <x:v>32</x:v>
      </x:c>
      <x:c r="W19" s="16" t="n">
        <x:f>Raw_SRC_V16C_Repeats!L12</x:f>
        <x:v>0.9</x:v>
      </x:c>
      <x:c r="X19" s="15" t="str">
        <x:f>Raw_SRC_V16C_Repeats!M12</x:f>
        <x:v>(0.01, 0.1, 1.0)</x:v>
      </x:c>
      <x:c r="Y19" s="16" t="n">
        <x:f>Raw_SRC_V16C_Repeats!N12</x:f>
        <x:v>0.4</x:v>
      </x:c>
      <x:c r="Z19" s="15" t="str">
        <x:f>Raw_SRC_V16C_Repeats!O12</x:f>
        <x:v>full</x:v>
      </x:c>
      <x:c r="AA19" s="15" t="str">
        <x:f>Raw_SRC_V16C_Repeats!P12</x:f>
        <x:v>grid_selected_by_val_only_no_test</x:v>
      </x:c>
      <x:c r="AB19" s="15" t="str">
        <x:f>Raw_SRC_V16C_Repeats!R12</x:f>
        <x:v>src_v16c_final_6datasets_repeat_rows.csv</x:v>
      </x:c>
      <x:c r="AC19" s="15" t="n">
        <x:f>Raw_SRC_V16C_Repeats!S12</x:f>
        <x:v>32</x:v>
      </x:c>
    </x:row>
    <x:row r="20" ht="22" customHeight="1">
      <x:c r="A20" s="15" t="str">
        <x:f>Raw_SRC_V16C_Repeats!A13</x:f>
        <x:v>amazon-photo</x:v>
      </x:c>
      <x:c r="B20" s="15" t="str">
        <x:f>"SRC-v16c repeat "&amp;Raw_SRC_V16C_Repeats!B13</x:f>
        <x:v>SRC-v16c repeat 1</x:v>
      </x:c>
      <x:c r="C20" s="15" t="s">
        <x:v>2</x:v>
      </x:c>
      <x:c r="D20" s="15"/>
      <x:c r="E20" s="16"/>
      <x:c r="F20" s="16"/>
      <x:c r="G20" s="16"/>
      <x:c r="H20" s="16"/>
      <x:c r="I20" s="16"/>
      <x:c r="J20" s="16"/>
      <x:c r="K20" s="16"/>
      <x:c r="L20" s="15" t="n">
        <x:f>Raw_SRC_V16C_Repeats!B13</x:f>
        <x:v>1</x:v>
      </x:c>
      <x:c r="M20" s="15" t="n">
        <x:f>Raw_SRC_V16C_Repeats!C13</x:f>
        <x:v>20260420</x:v>
      </x:c>
      <x:c r="N20" s="15" t="n">
        <x:f>Raw_SRC_V16C_Repeats!D13</x:f>
        <x:v>0</x:v>
      </x:c>
      <x:c r="O20" s="15" t="str">
        <x:f>Raw_SRC_V16C_Repeats!E13</x:f>
        <x:v>class_balanced_random_20_train_30_val_per_class</x:v>
      </x:c>
      <x:c r="P20" s="16" t="n">
        <x:f>Raw_SRC_V16C_Repeats!F13*100</x:f>
        <x:v>100</x:v>
      </x:c>
      <x:c r="Q20" s="16" t="n">
        <x:f>Raw_SRC_V16C_Repeats!G13*100</x:f>
        <x:v>94.5833333333333</x:v>
      </x:c>
      <x:c r="R20" s="16" t="n">
        <x:f>Raw_SRC_V16C_Repeats!H13*100</x:f>
        <x:v>88.9793103448276</x:v>
      </x:c>
      <x:c r="S20" s="17" t="n">
        <x:f>Raw_SRC_V16C_Repeats!H13</x:f>
        <x:v>0.889793103448276</x:v>
      </x:c>
      <x:c r="T20" s="16" t="n">
        <x:f>Raw_SRC_V16C_Repeats!I13*100</x:f>
        <x:v>94.5833333333333</x:v>
      </x:c>
      <x:c r="U20" s="15" t="n">
        <x:f>Raw_SRC_V16C_Repeats!J13</x:f>
        <x:v>4000</x:v>
      </x:c>
      <x:c r="V20" s="15" t="n">
        <x:f>Raw_SRC_V16C_Repeats!K13</x:f>
        <x:v>32</x:v>
      </x:c>
      <x:c r="W20" s="16" t="n">
        <x:f>Raw_SRC_V16C_Repeats!L13</x:f>
        <x:v>0.9</x:v>
      </x:c>
      <x:c r="X20" s="15" t="str">
        <x:f>Raw_SRC_V16C_Repeats!M13</x:f>
        <x:v>(0.01, 0.1, 1.0)</x:v>
      </x:c>
      <x:c r="Y20" s="16" t="n">
        <x:f>Raw_SRC_V16C_Repeats!N13</x:f>
        <x:v>0.7</x:v>
      </x:c>
      <x:c r="Z20" s="15" t="str">
        <x:f>Raw_SRC_V16C_Repeats!O13</x:f>
        <x:v>full</x:v>
      </x:c>
      <x:c r="AA20" s="15" t="str">
        <x:f>Raw_SRC_V16C_Repeats!P13</x:f>
        <x:v>grid_selected_by_val_only_no_test</x:v>
      </x:c>
      <x:c r="AB20" s="15" t="str">
        <x:f>Raw_SRC_V16C_Repeats!R13</x:f>
        <x:v>src_v16c_final_6datasets_repeat_rows.csv</x:v>
      </x:c>
      <x:c r="AC20" s="15" t="n">
        <x:f>Raw_SRC_V16C_Repeats!S13</x:f>
        <x:v>33</x:v>
      </x:c>
    </x:row>
    <x:row r="21" ht="22" customHeight="1">
      <x:c r="A21" s="15" t="str">
        <x:f>Raw_SRC_V16C_Repeats!A14</x:f>
        <x:v>amazon-photo</x:v>
      </x:c>
      <x:c r="B21" s="15" t="str">
        <x:f>"SRC-v16c repeat "&amp;Raw_SRC_V16C_Repeats!B14</x:f>
        <x:v>SRC-v16c repeat 2</x:v>
      </x:c>
      <x:c r="C21" s="15" t="s">
        <x:v>2</x:v>
      </x:c>
      <x:c r="D21" s="15"/>
      <x:c r="E21" s="16"/>
      <x:c r="F21" s="16"/>
      <x:c r="G21" s="16"/>
      <x:c r="H21" s="16"/>
      <x:c r="I21" s="16"/>
      <x:c r="J21" s="16"/>
      <x:c r="K21" s="16"/>
      <x:c r="L21" s="15" t="n">
        <x:f>Raw_SRC_V16C_Repeats!B14</x:f>
        <x:v>2</x:v>
      </x:c>
      <x:c r="M21" s="15" t="n">
        <x:f>Raw_SRC_V16C_Repeats!C14</x:f>
        <x:v>20260421</x:v>
      </x:c>
      <x:c r="N21" s="15" t="n">
        <x:f>Raw_SRC_V16C_Repeats!D14</x:f>
        <x:v>0</x:v>
      </x:c>
      <x:c r="O21" s="15" t="str">
        <x:f>Raw_SRC_V16C_Repeats!E14</x:f>
        <x:v>class_balanced_random_20_train_30_val_per_class</x:v>
      </x:c>
      <x:c r="P21" s="16" t="n">
        <x:f>Raw_SRC_V16C_Repeats!F14*100</x:f>
        <x:v>100</x:v>
      </x:c>
      <x:c r="Q21" s="16" t="n">
        <x:f>Raw_SRC_V16C_Repeats!G14*100</x:f>
        <x:v>90</x:v>
      </x:c>
      <x:c r="R21" s="16" t="n">
        <x:f>Raw_SRC_V16C_Repeats!H14*100</x:f>
        <x:v>85.6827586206897</x:v>
      </x:c>
      <x:c r="S21" s="17" t="n">
        <x:f>Raw_SRC_V16C_Repeats!H14</x:f>
        <x:v>0.856827586206897</x:v>
      </x:c>
      <x:c r="T21" s="16" t="n">
        <x:f>Raw_SRC_V16C_Repeats!I14*100</x:f>
        <x:v>90</x:v>
      </x:c>
      <x:c r="U21" s="15" t="n">
        <x:f>Raw_SRC_V16C_Repeats!J14</x:f>
        <x:v>4000</x:v>
      </x:c>
      <x:c r="V21" s="15" t="n">
        <x:f>Raw_SRC_V16C_Repeats!K14</x:f>
        <x:v>32</x:v>
      </x:c>
      <x:c r="W21" s="16" t="n">
        <x:f>Raw_SRC_V16C_Repeats!L14</x:f>
        <x:v>0.9</x:v>
      </x:c>
      <x:c r="X21" s="15" t="str">
        <x:f>Raw_SRC_V16C_Repeats!M14</x:f>
        <x:v>(0.05, 0.5, 5.0)</x:v>
      </x:c>
      <x:c r="Y21" s="16" t="n">
        <x:f>Raw_SRC_V16C_Repeats!N14</x:f>
        <x:v>0.6</x:v>
      </x:c>
      <x:c r="Z21" s="15" t="str">
        <x:f>Raw_SRC_V16C_Repeats!O14</x:f>
        <x:v>full</x:v>
      </x:c>
      <x:c r="AA21" s="15" t="str">
        <x:f>Raw_SRC_V16C_Repeats!P14</x:f>
        <x:v>grid_selected_by_val_only_no_test</x:v>
      </x:c>
      <x:c r="AB21" s="15" t="str">
        <x:f>Raw_SRC_V16C_Repeats!R14</x:f>
        <x:v>src_v16c_final_6datasets_repeat_rows.csv</x:v>
      </x:c>
      <x:c r="AC21" s="15" t="n">
        <x:f>Raw_SRC_V16C_Repeats!S14</x:f>
        <x:v>34</x:v>
      </x:c>
    </x:row>
    <x:row r="22" ht="22" customHeight="1">
      <x:c r="A22" s="15" t="str">
        <x:f>Raw_SRC_V16C_Repeats!A15</x:f>
        <x:v>amazon-photo</x:v>
      </x:c>
      <x:c r="B22" s="15" t="str">
        <x:f>"SRC-v16c repeat "&amp;Raw_SRC_V16C_Repeats!B15</x:f>
        <x:v>SRC-v16c repeat 3</x:v>
      </x:c>
      <x:c r="C22" s="15" t="s">
        <x:v>2</x:v>
      </x:c>
      <x:c r="D22" s="15"/>
      <x:c r="E22" s="16"/>
      <x:c r="F22" s="16"/>
      <x:c r="G22" s="16"/>
      <x:c r="H22" s="16"/>
      <x:c r="I22" s="16"/>
      <x:c r="J22" s="16"/>
      <x:c r="K22" s="16"/>
      <x:c r="L22" s="15" t="n">
        <x:f>Raw_SRC_V16C_Repeats!B15</x:f>
        <x:v>3</x:v>
      </x:c>
      <x:c r="M22" s="15" t="n">
        <x:f>Raw_SRC_V16C_Repeats!C15</x:f>
        <x:v>20260422</x:v>
      </x:c>
      <x:c r="N22" s="15" t="n">
        <x:f>Raw_SRC_V16C_Repeats!D15</x:f>
        <x:v>0</x:v>
      </x:c>
      <x:c r="O22" s="15" t="str">
        <x:f>Raw_SRC_V16C_Repeats!E15</x:f>
        <x:v>class_balanced_random_20_train_30_val_per_class</x:v>
      </x:c>
      <x:c r="P22" s="16" t="n">
        <x:f>Raw_SRC_V16C_Repeats!F15*100</x:f>
        <x:v>100</x:v>
      </x:c>
      <x:c r="Q22" s="16" t="n">
        <x:f>Raw_SRC_V16C_Repeats!G15*100</x:f>
        <x:v>89.1666666666667</x:v>
      </x:c>
      <x:c r="R22" s="16" t="n">
        <x:f>Raw_SRC_V16C_Repeats!H15*100</x:f>
        <x:v>89.9586206896552</x:v>
      </x:c>
      <x:c r="S22" s="17" t="n">
        <x:f>Raw_SRC_V16C_Repeats!H15</x:f>
        <x:v>0.899586206896552</x:v>
      </x:c>
      <x:c r="T22" s="16" t="n">
        <x:f>Raw_SRC_V16C_Repeats!I15*100</x:f>
        <x:v>89.1666666666667</x:v>
      </x:c>
      <x:c r="U22" s="15" t="n">
        <x:f>Raw_SRC_V16C_Repeats!J15</x:f>
        <x:v>4000</x:v>
      </x:c>
      <x:c r="V22" s="15" t="n">
        <x:f>Raw_SRC_V16C_Repeats!K15</x:f>
        <x:v>32</x:v>
      </x:c>
      <x:c r="W22" s="16" t="n">
        <x:f>Raw_SRC_V16C_Repeats!L15</x:f>
        <x:v>0.9</x:v>
      </x:c>
      <x:c r="X22" s="15" t="str">
        <x:f>Raw_SRC_V16C_Repeats!M15</x:f>
        <x:v>(0.01, 0.1, 1.0)</x:v>
      </x:c>
      <x:c r="Y22" s="16" t="n">
        <x:f>Raw_SRC_V16C_Repeats!N15</x:f>
        <x:v>0.8</x:v>
      </x:c>
      <x:c r="Z22" s="15" t="str">
        <x:f>Raw_SRC_V16C_Repeats!O15</x:f>
        <x:v>full</x:v>
      </x:c>
      <x:c r="AA22" s="15" t="str">
        <x:f>Raw_SRC_V16C_Repeats!P15</x:f>
        <x:v>grid_selected_by_val_only_no_test</x:v>
      </x:c>
      <x:c r="AB22" s="15" t="str">
        <x:f>Raw_SRC_V16C_Repeats!R15</x:f>
        <x:v>src_v16c_final_6datasets_repeat_rows.csv</x:v>
      </x:c>
      <x:c r="AC22" s="15" t="n">
        <x:f>Raw_SRC_V16C_Repeats!S15</x:f>
        <x:v>35</x:v>
      </x:c>
    </x:row>
    <x:row r="23" ht="22" customHeight="1">
      <x:c r="A23" s="15" t="str">
        <x:f>Raw_SRC_V16C_Repeats!A16</x:f>
        <x:v>amazon-photo</x:v>
      </x:c>
      <x:c r="B23" s="15" t="str">
        <x:f>"SRC-v16c repeat "&amp;Raw_SRC_V16C_Repeats!B16</x:f>
        <x:v>SRC-v16c repeat 4</x:v>
      </x:c>
      <x:c r="C23" s="15" t="s">
        <x:v>2</x:v>
      </x:c>
      <x:c r="D23" s="15"/>
      <x:c r="E23" s="16"/>
      <x:c r="F23" s="16"/>
      <x:c r="G23" s="16"/>
      <x:c r="H23" s="16"/>
      <x:c r="I23" s="16"/>
      <x:c r="J23" s="16"/>
      <x:c r="K23" s="16"/>
      <x:c r="L23" s="15" t="n">
        <x:f>Raw_SRC_V16C_Repeats!B16</x:f>
        <x:v>4</x:v>
      </x:c>
      <x:c r="M23" s="15" t="n">
        <x:f>Raw_SRC_V16C_Repeats!C16</x:f>
        <x:v>20260423</x:v>
      </x:c>
      <x:c r="N23" s="15" t="n">
        <x:f>Raw_SRC_V16C_Repeats!D16</x:f>
        <x:v>0</x:v>
      </x:c>
      <x:c r="O23" s="15" t="str">
        <x:f>Raw_SRC_V16C_Repeats!E16</x:f>
        <x:v>class_balanced_random_20_train_30_val_per_class</x:v>
      </x:c>
      <x:c r="P23" s="16" t="n">
        <x:f>Raw_SRC_V16C_Repeats!F16*100</x:f>
        <x:v>100</x:v>
      </x:c>
      <x:c r="Q23" s="16" t="n">
        <x:f>Raw_SRC_V16C_Repeats!G16*100</x:f>
        <x:v>91.25</x:v>
      </x:c>
      <x:c r="R23" s="16" t="n">
        <x:f>Raw_SRC_V16C_Repeats!H16*100</x:f>
        <x:v>89.48965517241379</x:v>
      </x:c>
      <x:c r="S23" s="17" t="n">
        <x:f>Raw_SRC_V16C_Repeats!H16</x:f>
        <x:v>0.894896551724138</x:v>
      </x:c>
      <x:c r="T23" s="16" t="n">
        <x:f>Raw_SRC_V16C_Repeats!I16*100</x:f>
        <x:v>91.25</x:v>
      </x:c>
      <x:c r="U23" s="15" t="n">
        <x:f>Raw_SRC_V16C_Repeats!J16</x:f>
        <x:v>4000</x:v>
      </x:c>
      <x:c r="V23" s="15" t="n">
        <x:f>Raw_SRC_V16C_Repeats!K16</x:f>
        <x:v>32</x:v>
      </x:c>
      <x:c r="W23" s="16" t="n">
        <x:f>Raw_SRC_V16C_Repeats!L16</x:f>
        <x:v>0.9</x:v>
      </x:c>
      <x:c r="X23" s="15" t="str">
        <x:f>Raw_SRC_V16C_Repeats!M16</x:f>
        <x:v>(0.1, 1.0, 10.0)</x:v>
      </x:c>
      <x:c r="Y23" s="16" t="n">
        <x:f>Raw_SRC_V16C_Repeats!N16</x:f>
        <x:v>0.7</x:v>
      </x:c>
      <x:c r="Z23" s="15" t="str">
        <x:f>Raw_SRC_V16C_Repeats!O16</x:f>
        <x:v>full</x:v>
      </x:c>
      <x:c r="AA23" s="15" t="str">
        <x:f>Raw_SRC_V16C_Repeats!P16</x:f>
        <x:v>grid_selected_by_val_only_no_test</x:v>
      </x:c>
      <x:c r="AB23" s="15" t="str">
        <x:f>Raw_SRC_V16C_Repeats!R16</x:f>
        <x:v>src_v16c_final_6datasets_repeat_rows.csv</x:v>
      </x:c>
      <x:c r="AC23" s="15" t="n">
        <x:f>Raw_SRC_V16C_Repeats!S16</x:f>
        <x:v>36</x:v>
      </x:c>
    </x:row>
    <x:row r="24" ht="22" customHeight="1">
      <x:c r="A24" s="15" t="str">
        <x:f>Raw_SRC_V16C_Repeats!A17</x:f>
        <x:v>amazon-photo</x:v>
      </x:c>
      <x:c r="B24" s="15" t="str">
        <x:f>"SRC-v16c repeat "&amp;Raw_SRC_V16C_Repeats!B17</x:f>
        <x:v>SRC-v16c repeat 5</x:v>
      </x:c>
      <x:c r="C24" s="15" t="s">
        <x:v>2</x:v>
      </x:c>
      <x:c r="D24" s="15"/>
      <x:c r="E24" s="16"/>
      <x:c r="F24" s="16"/>
      <x:c r="G24" s="16"/>
      <x:c r="H24" s="16"/>
      <x:c r="I24" s="16"/>
      <x:c r="J24" s="16"/>
      <x:c r="K24" s="16"/>
      <x:c r="L24" s="15" t="n">
        <x:f>Raw_SRC_V16C_Repeats!B17</x:f>
        <x:v>5</x:v>
      </x:c>
      <x:c r="M24" s="15" t="n">
        <x:f>Raw_SRC_V16C_Repeats!C17</x:f>
        <x:v>20260424</x:v>
      </x:c>
      <x:c r="N24" s="15" t="n">
        <x:f>Raw_SRC_V16C_Repeats!D17</x:f>
        <x:v>0</x:v>
      </x:c>
      <x:c r="O24" s="15" t="str">
        <x:f>Raw_SRC_V16C_Repeats!E17</x:f>
        <x:v>class_balanced_random_20_train_30_val_per_class</x:v>
      </x:c>
      <x:c r="P24" s="16" t="n">
        <x:f>Raw_SRC_V16C_Repeats!F17*100</x:f>
        <x:v>100</x:v>
      </x:c>
      <x:c r="Q24" s="16" t="n">
        <x:f>Raw_SRC_V16C_Repeats!G17*100</x:f>
        <x:v>94.5833333333333</x:v>
      </x:c>
      <x:c r="R24" s="16" t="n">
        <x:f>Raw_SRC_V16C_Repeats!H17*100</x:f>
        <x:v>89.4758620689655</x:v>
      </x:c>
      <x:c r="S24" s="17" t="n">
        <x:f>Raw_SRC_V16C_Repeats!H17</x:f>
        <x:v>0.894758620689655</x:v>
      </x:c>
      <x:c r="T24" s="16" t="n">
        <x:f>Raw_SRC_V16C_Repeats!I17*100</x:f>
        <x:v>94.5833333333333</x:v>
      </x:c>
      <x:c r="U24" s="15" t="n">
        <x:f>Raw_SRC_V16C_Repeats!J17</x:f>
        <x:v>5000</x:v>
      </x:c>
      <x:c r="V24" s="15" t="n">
        <x:f>Raw_SRC_V16C_Repeats!K17</x:f>
        <x:v>32</x:v>
      </x:c>
      <x:c r="W24" s="16" t="n">
        <x:f>Raw_SRC_V16C_Repeats!L17</x:f>
        <x:v>0.9</x:v>
      </x:c>
      <x:c r="X24" s="15" t="str">
        <x:f>Raw_SRC_V16C_Repeats!M17</x:f>
        <x:v>(0.01, 0.1, 1.0)</x:v>
      </x:c>
      <x:c r="Y24" s="16" t="n">
        <x:f>Raw_SRC_V16C_Repeats!N17</x:f>
        <x:v>0.6</x:v>
      </x:c>
      <x:c r="Z24" s="15" t="str">
        <x:f>Raw_SRC_V16C_Repeats!O17</x:f>
        <x:v>full</x:v>
      </x:c>
      <x:c r="AA24" s="15" t="str">
        <x:f>Raw_SRC_V16C_Repeats!P17</x:f>
        <x:v>grid_selected_by_val_only_no_test</x:v>
      </x:c>
      <x:c r="AB24" s="15" t="str">
        <x:f>Raw_SRC_V16C_Repeats!R17</x:f>
        <x:v>src_v16c_final_6datasets_repeat_rows.csv</x:v>
      </x:c>
      <x:c r="AC24" s="15" t="n">
        <x:f>Raw_SRC_V16C_Repeats!S17</x:f>
        <x:v>37</x:v>
      </x:c>
    </x:row>
    <x:row r="25" ht="22" customHeight="1">
      <x:c r="A25" s="15" t="str">
        <x:f>Raw_SRC_V16C_Repeats!A18</x:f>
        <x:v>amazon-photo</x:v>
      </x:c>
      <x:c r="B25" s="15" t="str">
        <x:f>"SRC-v16c repeat "&amp;Raw_SRC_V16C_Repeats!B18</x:f>
        <x:v>SRC-v16c repeat 6</x:v>
      </x:c>
      <x:c r="C25" s="15" t="s">
        <x:v>2</x:v>
      </x:c>
      <x:c r="D25" s="15"/>
      <x:c r="E25" s="16"/>
      <x:c r="F25" s="16"/>
      <x:c r="G25" s="16"/>
      <x:c r="H25" s="16"/>
      <x:c r="I25" s="16"/>
      <x:c r="J25" s="16"/>
      <x:c r="K25" s="16"/>
      <x:c r="L25" s="15" t="n">
        <x:f>Raw_SRC_V16C_Repeats!B18</x:f>
        <x:v>6</x:v>
      </x:c>
      <x:c r="M25" s="15" t="n">
        <x:f>Raw_SRC_V16C_Repeats!C18</x:f>
        <x:v>20260425</x:v>
      </x:c>
      <x:c r="N25" s="15" t="n">
        <x:f>Raw_SRC_V16C_Repeats!D18</x:f>
        <x:v>0</x:v>
      </x:c>
      <x:c r="O25" s="15" t="str">
        <x:f>Raw_SRC_V16C_Repeats!E18</x:f>
        <x:v>class_balanced_random_20_train_30_val_per_class</x:v>
      </x:c>
      <x:c r="P25" s="16" t="n">
        <x:f>Raw_SRC_V16C_Repeats!F18*100</x:f>
        <x:v>100</x:v>
      </x:c>
      <x:c r="Q25" s="16" t="n">
        <x:f>Raw_SRC_V16C_Repeats!G18*100</x:f>
        <x:v>89.1666666666667</x:v>
      </x:c>
      <x:c r="R25" s="16" t="n">
        <x:f>Raw_SRC_V16C_Repeats!H18*100</x:f>
        <x:v>88.6068965517241</x:v>
      </x:c>
      <x:c r="S25" s="17" t="n">
        <x:f>Raw_SRC_V16C_Repeats!H18</x:f>
        <x:v>0.886068965517241</x:v>
      </x:c>
      <x:c r="T25" s="16" t="n">
        <x:f>Raw_SRC_V16C_Repeats!I18*100</x:f>
        <x:v>89.1666666666667</x:v>
      </x:c>
      <x:c r="U25" s="15" t="n">
        <x:f>Raw_SRC_V16C_Repeats!J18</x:f>
        <x:v>4000</x:v>
      </x:c>
      <x:c r="V25" s="15" t="n">
        <x:f>Raw_SRC_V16C_Repeats!K18</x:f>
        <x:v>32</x:v>
      </x:c>
      <x:c r="W25" s="16" t="n">
        <x:f>Raw_SRC_V16C_Repeats!L18</x:f>
        <x:v>0.9</x:v>
      </x:c>
      <x:c r="X25" s="15" t="str">
        <x:f>Raw_SRC_V16C_Repeats!M18</x:f>
        <x:v>(0.01, 0.1, 1.0)</x:v>
      </x:c>
      <x:c r="Y25" s="16" t="n">
        <x:f>Raw_SRC_V16C_Repeats!N18</x:f>
        <x:v>0.5</x:v>
      </x:c>
      <x:c r="Z25" s="15" t="str">
        <x:f>Raw_SRC_V16C_Repeats!O18</x:f>
        <x:v>full</x:v>
      </x:c>
      <x:c r="AA25" s="15" t="str">
        <x:f>Raw_SRC_V16C_Repeats!P18</x:f>
        <x:v>grid_selected_by_val_only_no_test</x:v>
      </x:c>
      <x:c r="AB25" s="15" t="str">
        <x:f>Raw_SRC_V16C_Repeats!R18</x:f>
        <x:v>src_v16c_final_6datasets_repeat_rows.csv</x:v>
      </x:c>
      <x:c r="AC25" s="15" t="n">
        <x:f>Raw_SRC_V16C_Repeats!S18</x:f>
        <x:v>38</x:v>
      </x:c>
    </x:row>
    <x:row r="26" ht="22" customHeight="1">
      <x:c r="A26" s="15" t="str">
        <x:f>Raw_SRC_V16C_Repeats!A19</x:f>
        <x:v>amazon-photo</x:v>
      </x:c>
      <x:c r="B26" s="15" t="str">
        <x:f>"SRC-v16c repeat "&amp;Raw_SRC_V16C_Repeats!B19</x:f>
        <x:v>SRC-v16c repeat 7</x:v>
      </x:c>
      <x:c r="C26" s="15" t="s">
        <x:v>2</x:v>
      </x:c>
      <x:c r="D26" s="15"/>
      <x:c r="E26" s="16"/>
      <x:c r="F26" s="16"/>
      <x:c r="G26" s="16"/>
      <x:c r="H26" s="16"/>
      <x:c r="I26" s="16"/>
      <x:c r="J26" s="16"/>
      <x:c r="K26" s="16"/>
      <x:c r="L26" s="15" t="n">
        <x:f>Raw_SRC_V16C_Repeats!B19</x:f>
        <x:v>7</x:v>
      </x:c>
      <x:c r="M26" s="15" t="n">
        <x:f>Raw_SRC_V16C_Repeats!C19</x:f>
        <x:v>20260426</x:v>
      </x:c>
      <x:c r="N26" s="15" t="n">
        <x:f>Raw_SRC_V16C_Repeats!D19</x:f>
        <x:v>0</x:v>
      </x:c>
      <x:c r="O26" s="15" t="str">
        <x:f>Raw_SRC_V16C_Repeats!E19</x:f>
        <x:v>class_balanced_random_20_train_30_val_per_class</x:v>
      </x:c>
      <x:c r="P26" s="16" t="n">
        <x:f>Raw_SRC_V16C_Repeats!F19*100</x:f>
        <x:v>100</x:v>
      </x:c>
      <x:c r="Q26" s="16" t="n">
        <x:f>Raw_SRC_V16C_Repeats!G19*100</x:f>
        <x:v>93.3333333333333</x:v>
      </x:c>
      <x:c r="R26" s="16" t="n">
        <x:f>Raw_SRC_V16C_Repeats!H19*100</x:f>
        <x:v>87.8068965517241</x:v>
      </x:c>
      <x:c r="S26" s="17" t="n">
        <x:f>Raw_SRC_V16C_Repeats!H19</x:f>
        <x:v>0.878068965517241</x:v>
      </x:c>
      <x:c r="T26" s="16" t="n">
        <x:f>Raw_SRC_V16C_Repeats!I19*100</x:f>
        <x:v>93.3333333333333</x:v>
      </x:c>
      <x:c r="U26" s="15" t="n">
        <x:f>Raw_SRC_V16C_Repeats!J19</x:f>
        <x:v>4000</x:v>
      </x:c>
      <x:c r="V26" s="15" t="n">
        <x:f>Raw_SRC_V16C_Repeats!K19</x:f>
        <x:v>32</x:v>
      </x:c>
      <x:c r="W26" s="16" t="n">
        <x:f>Raw_SRC_V16C_Repeats!L19</x:f>
        <x:v>0.95</x:v>
      </x:c>
      <x:c r="X26" s="15" t="str">
        <x:f>Raw_SRC_V16C_Repeats!M19</x:f>
        <x:v>(0.01, 0.1, 1.0)</x:v>
      </x:c>
      <x:c r="Y26" s="16" t="n">
        <x:f>Raw_SRC_V16C_Repeats!N19</x:f>
        <x:v>0.3</x:v>
      </x:c>
      <x:c r="Z26" s="15" t="str">
        <x:f>Raw_SRC_V16C_Repeats!O19</x:f>
        <x:v>full</x:v>
      </x:c>
      <x:c r="AA26" s="15" t="str">
        <x:f>Raw_SRC_V16C_Repeats!P19</x:f>
        <x:v>grid_selected_by_val_only_no_test</x:v>
      </x:c>
      <x:c r="AB26" s="15" t="str">
        <x:f>Raw_SRC_V16C_Repeats!R19</x:f>
        <x:v>src_v16c_final_6datasets_repeat_rows.csv</x:v>
      </x:c>
      <x:c r="AC26" s="15" t="n">
        <x:f>Raw_SRC_V16C_Repeats!S19</x:f>
        <x:v>39</x:v>
      </x:c>
    </x:row>
    <x:row r="27" ht="22" customHeight="1">
      <x:c r="A27" s="15" t="str">
        <x:f>Raw_SRC_V16C_Repeats!A20</x:f>
        <x:v>amazon-photo</x:v>
      </x:c>
      <x:c r="B27" s="15" t="str">
        <x:f>"SRC-v16c repeat "&amp;Raw_SRC_V16C_Repeats!B20</x:f>
        <x:v>SRC-v16c repeat 8</x:v>
      </x:c>
      <x:c r="C27" s="15" t="s">
        <x:v>2</x:v>
      </x:c>
      <x:c r="D27" s="15"/>
      <x:c r="E27" s="16"/>
      <x:c r="F27" s="16"/>
      <x:c r="G27" s="16"/>
      <x:c r="H27" s="16"/>
      <x:c r="I27" s="16"/>
      <x:c r="J27" s="16"/>
      <x:c r="K27" s="16"/>
      <x:c r="L27" s="15" t="n">
        <x:f>Raw_SRC_V16C_Repeats!B20</x:f>
        <x:v>8</x:v>
      </x:c>
      <x:c r="M27" s="15" t="n">
        <x:f>Raw_SRC_V16C_Repeats!C20</x:f>
        <x:v>20260427</x:v>
      </x:c>
      <x:c r="N27" s="15" t="n">
        <x:f>Raw_SRC_V16C_Repeats!D20</x:f>
        <x:v>0</x:v>
      </x:c>
      <x:c r="O27" s="15" t="str">
        <x:f>Raw_SRC_V16C_Repeats!E20</x:f>
        <x:v>class_balanced_random_20_train_30_val_per_class</x:v>
      </x:c>
      <x:c r="P27" s="16" t="n">
        <x:f>Raw_SRC_V16C_Repeats!F20*100</x:f>
        <x:v>100</x:v>
      </x:c>
      <x:c r="Q27" s="16" t="n">
        <x:f>Raw_SRC_V16C_Repeats!G20*100</x:f>
        <x:v>92.9166666666667</x:v>
      </x:c>
      <x:c r="R27" s="16" t="n">
        <x:f>Raw_SRC_V16C_Repeats!H20*100</x:f>
        <x:v>90.5931034482759</x:v>
      </x:c>
      <x:c r="S27" s="17" t="n">
        <x:f>Raw_SRC_V16C_Repeats!H20</x:f>
        <x:v>0.905931034482759</x:v>
      </x:c>
      <x:c r="T27" s="16" t="n">
        <x:f>Raw_SRC_V16C_Repeats!I20*100</x:f>
        <x:v>92.9166666666667</x:v>
      </x:c>
      <x:c r="U27" s="15" t="n">
        <x:f>Raw_SRC_V16C_Repeats!J20</x:f>
        <x:v>4000</x:v>
      </x:c>
      <x:c r="V27" s="15" t="n">
        <x:f>Raw_SRC_V16C_Repeats!K20</x:f>
        <x:v>32</x:v>
      </x:c>
      <x:c r="W27" s="16" t="n">
        <x:f>Raw_SRC_V16C_Repeats!L20</x:f>
        <x:v>0.9</x:v>
      </x:c>
      <x:c r="X27" s="15" t="str">
        <x:f>Raw_SRC_V16C_Repeats!M20</x:f>
        <x:v>(0.01, 0.1, 1.0)</x:v>
      </x:c>
      <x:c r="Y27" s="16" t="n">
        <x:f>Raw_SRC_V16C_Repeats!N20</x:f>
        <x:v>0.5</x:v>
      </x:c>
      <x:c r="Z27" s="15" t="str">
        <x:f>Raw_SRC_V16C_Repeats!O20</x:f>
        <x:v>full</x:v>
      </x:c>
      <x:c r="AA27" s="15" t="str">
        <x:f>Raw_SRC_V16C_Repeats!P20</x:f>
        <x:v>grid_selected_by_val_only_no_test</x:v>
      </x:c>
      <x:c r="AB27" s="15" t="str">
        <x:f>Raw_SRC_V16C_Repeats!R20</x:f>
        <x:v>src_v16c_final_6datasets_repeat_rows.csv</x:v>
      </x:c>
      <x:c r="AC27" s="15" t="n">
        <x:f>Raw_SRC_V16C_Repeats!S20</x:f>
        <x:v>40</x:v>
      </x:c>
    </x:row>
    <x:row r="28" ht="22" customHeight="1">
      <x:c r="A28" s="15" t="str">
        <x:f>Raw_SRC_V16C_Repeats!A21</x:f>
        <x:v>amazon-photo</x:v>
      </x:c>
      <x:c r="B28" s="15" t="str">
        <x:f>"SRC-v16c repeat "&amp;Raw_SRC_V16C_Repeats!B21</x:f>
        <x:v>SRC-v16c repeat 9</x:v>
      </x:c>
      <x:c r="C28" s="15" t="s">
        <x:v>2</x:v>
      </x:c>
      <x:c r="D28" s="15"/>
      <x:c r="E28" s="16"/>
      <x:c r="F28" s="16"/>
      <x:c r="G28" s="16"/>
      <x:c r="H28" s="16"/>
      <x:c r="I28" s="16"/>
      <x:c r="J28" s="16"/>
      <x:c r="K28" s="16"/>
      <x:c r="L28" s="15" t="n">
        <x:f>Raw_SRC_V16C_Repeats!B21</x:f>
        <x:v>9</x:v>
      </x:c>
      <x:c r="M28" s="15" t="n">
        <x:f>Raw_SRC_V16C_Repeats!C21</x:f>
        <x:v>20260428</x:v>
      </x:c>
      <x:c r="N28" s="15" t="n">
        <x:f>Raw_SRC_V16C_Repeats!D21</x:f>
        <x:v>0</x:v>
      </x:c>
      <x:c r="O28" s="15" t="str">
        <x:f>Raw_SRC_V16C_Repeats!E21</x:f>
        <x:v>class_balanced_random_20_train_30_val_per_class</x:v>
      </x:c>
      <x:c r="P28" s="16" t="n">
        <x:f>Raw_SRC_V16C_Repeats!F21*100</x:f>
        <x:v>100</x:v>
      </x:c>
      <x:c r="Q28" s="16" t="n">
        <x:f>Raw_SRC_V16C_Repeats!G21*100</x:f>
        <x:v>89.1666666666667</x:v>
      </x:c>
      <x:c r="R28" s="16" t="n">
        <x:f>Raw_SRC_V16C_Repeats!H21*100</x:f>
        <x:v>88.3310344827586</x:v>
      </x:c>
      <x:c r="S28" s="17" t="n">
        <x:f>Raw_SRC_V16C_Repeats!H21</x:f>
        <x:v>0.883310344827586</x:v>
      </x:c>
      <x:c r="T28" s="16" t="n">
        <x:f>Raw_SRC_V16C_Repeats!I21*100</x:f>
        <x:v>89.1666666666667</x:v>
      </x:c>
      <x:c r="U28" s="15" t="n">
        <x:f>Raw_SRC_V16C_Repeats!J21</x:f>
        <x:v>5000</x:v>
      </x:c>
      <x:c r="V28" s="15" t="n">
        <x:f>Raw_SRC_V16C_Repeats!K21</x:f>
        <x:v>32</x:v>
      </x:c>
      <x:c r="W28" s="16" t="n">
        <x:f>Raw_SRC_V16C_Repeats!L21</x:f>
        <x:v>0.9</x:v>
      </x:c>
      <x:c r="X28" s="15" t="str">
        <x:f>Raw_SRC_V16C_Repeats!M21</x:f>
        <x:v>(0.01, 0.1, 1.0)</x:v>
      </x:c>
      <x:c r="Y28" s="16" t="n">
        <x:f>Raw_SRC_V16C_Repeats!N21</x:f>
        <x:v>0.4</x:v>
      </x:c>
      <x:c r="Z28" s="15" t="str">
        <x:f>Raw_SRC_V16C_Repeats!O21</x:f>
        <x:v>full</x:v>
      </x:c>
      <x:c r="AA28" s="15" t="str">
        <x:f>Raw_SRC_V16C_Repeats!P21</x:f>
        <x:v>grid_selected_by_val_only_no_test</x:v>
      </x:c>
      <x:c r="AB28" s="15" t="str">
        <x:f>Raw_SRC_V16C_Repeats!R21</x:f>
        <x:v>src_v16c_final_6datasets_repeat_rows.csv</x:v>
      </x:c>
      <x:c r="AC28" s="15" t="n">
        <x:f>Raw_SRC_V16C_Repeats!S21</x:f>
        <x:v>41</x:v>
      </x:c>
    </x:row>
    <x:row r="29" ht="22" customHeight="1">
      <x:c r="A29" s="2"/>
      <x:c r="B29" s="2"/>
      <x:c r="C29" s="2"/>
      <x:c r="D29" s="2"/>
      <x:c r="E29" s="18"/>
      <x:c r="F29" s="18"/>
      <x:c r="G29" s="18"/>
      <x:c r="H29" s="18"/>
      <x:c r="I29" s="18"/>
      <x:c r="J29" s="18"/>
      <x:c r="K29" s="18"/>
      <x:c r="L29" s="2"/>
      <x:c r="M29" s="2"/>
      <x:c r="N29" s="2"/>
      <x:c r="O29" s="2"/>
      <x:c r="P29" s="18"/>
      <x:c r="Q29" s="18"/>
      <x:c r="R29" s="18"/>
      <x:c r="S29" s="19"/>
      <x:c r="T29" s="18"/>
      <x:c r="U29" s="2"/>
      <x:c r="V29" s="2"/>
      <x:c r="W29" s="18"/>
      <x:c r="X29" s="2"/>
      <x:c r="Y29" s="18"/>
      <x:c r="Z29" s="2"/>
      <x:c r="AA29" s="2"/>
      <x:c r="AB29" s="2"/>
      <x:c r="AC29" s="2"/>
    </x:row>
    <x:row r="30" ht="22" customHeight="1">
      <x:c r="A30" s="6" t="s">
        <x:v>105</x:v>
      </x:c>
    </x:row>
    <x:row r="31" ht="22" customHeight="1">
      <x:c r="A31" s="7" t="s">
        <x:v>39</x:v>
      </x:c>
      <x:c r="B31" s="7" t="s">
        <x:v>99</x:v>
      </x:c>
      <x:c r="C31" s="7" t="str">
        <x:v>LINKX</x:v>
      </x:c>
      <x:c r="D31" s="8" t="n">
        <x:f>COUNT(Raw_Strongest_Baseline_Repeats!H22:H31)</x:f>
        <x:v>10</x:v>
      </x:c>
      <x:c r="E31" s="9" t="n">
        <x:f>AVERAGE(Raw_Strongest_Baseline_Repeats!F22:F31)*100</x:f>
        <x:v>99.22161102294922</x:v>
      </x:c>
      <x:c r="F31" s="9" t="n">
        <x:f>_xlfn.STDEV.S(Raw_Strongest_Baseline_Repeats!F22:F31)*100</x:f>
        <x:v>0.8021167391972608</x:v>
      </x:c>
      <x:c r="G31" s="9" t="n">
        <x:f>AVERAGE(Raw_Strongest_Baseline_Repeats!G22:G31)*100</x:f>
        <x:v>71.93415522575378</x:v>
      </x:c>
      <x:c r="H31" s="9" t="n">
        <x:f>_xlfn.STDEV.S(Raw_Strongest_Baseline_Repeats!G22:G31)*100</x:f>
        <x:v>1.7317535890375533</x:v>
      </x:c>
      <x:c r="I31" s="9" t="n">
        <x:f>AVERAGE(Raw_Strongest_Baseline_Repeats!H22:H31)*100</x:f>
        <x:v>71.55701696872711</x:v>
      </x:c>
      <x:c r="J31" s="9" t="n">
        <x:f>_xlfn.STDEV.S(Raw_Strongest_Baseline_Repeats!H22:H31)*100</x:f>
        <x:v>1.4946994669949587</x:v>
      </x:c>
      <x:c r="K31" s="9"/>
      <x:c r="L31" s="8"/>
      <x:c r="M31" s="8"/>
      <x:c r="N31" s="8"/>
      <x:c r="O31" s="8"/>
      <x:c r="P31" s="9"/>
      <x:c r="Q31" s="9"/>
      <x:c r="R31" s="9"/>
      <x:c r="S31" s="10"/>
      <x:c r="T31" s="9"/>
      <x:c r="U31" s="8"/>
      <x:c r="V31" s="8"/>
      <x:c r="W31" s="9"/>
      <x:c r="X31" s="8"/>
      <x:c r="Y31" s="9"/>
      <x:c r="Z31" s="8"/>
      <x:c r="AA31" s="8"/>
      <x:c r="AB31" s="8" t="str">
        <x:v>strongest_baseline_repeats_merged.csv</x:v>
      </x:c>
      <x:c r="AC31" s="8" t="str">
        <x:v>rows 22-31 in Raw_Strongest_Baseline_Repeats</x:v>
      </x:c>
    </x:row>
    <x:row r="32" ht="22" customHeight="1">
      <x:c r="A32" s="11" t="s">
        <x:v>39</x:v>
      </x:c>
      <x:c r="B32" s="11" t="s">
        <x:v>100</x:v>
      </x:c>
      <x:c r="C32" s="11" t="s">
        <x:v>2</x:v>
      </x:c>
      <x:c r="D32" s="12" t="n">
        <x:f>COUNT(Raw_SRC_V16C_Repeats!H22:H31)</x:f>
        <x:v>10</x:v>
      </x:c>
      <x:c r="E32" s="13" t="n">
        <x:f>AVERAGE(Raw_SRC_V16C_Repeats!F22:F31)*100</x:f>
        <x:v>97.75641025641025</x:v>
      </x:c>
      <x:c r="F32" s="13" t="n">
        <x:f>_xlfn.STDEV.S(Raw_SRC_V16C_Repeats!F22:F31)*100</x:f>
        <x:v>1.6222840430765773</x:v>
      </x:c>
      <x:c r="G32" s="13" t="n">
        <x:f>AVERAGE(Raw_SRC_V16C_Repeats!G22:G31)*100</x:f>
        <x:v>72.79835390946502</x:v>
      </x:c>
      <x:c r="H32" s="13" t="n">
        <x:f>_xlfn.STDEV.S(Raw_SRC_V16C_Repeats!G22:G31)*100</x:f>
        <x:v>2.286282578417944</x:v>
      </x:c>
      <x:c r="I32" s="13" t="n">
        <x:f>AVERAGE(Raw_SRC_V16C_Repeats!H22:H31)*100</x:f>
        <x:v>72.4780701754386</x:v>
      </x:c>
      <x:c r="J32" s="13" t="n">
        <x:f>_xlfn.STDEV.S(Raw_SRC_V16C_Repeats!H22:H31)*100</x:f>
        <x:v>1.8528935461456946</x:v>
      </x:c>
      <x:c r="K32" s="13" t="n">
        <x:f>I32-I31</x:f>
        <x:v>0.9210532067114912</x:v>
      </x:c>
      <x:c r="L32" s="12"/>
      <x:c r="M32" s="12"/>
      <x:c r="N32" s="12"/>
      <x:c r="O32" s="12"/>
      <x:c r="P32" s="13"/>
      <x:c r="Q32" s="13"/>
      <x:c r="R32" s="13"/>
      <x:c r="S32" s="14"/>
      <x:c r="T32" s="13"/>
      <x:c r="U32" s="12"/>
      <x:c r="V32" s="12"/>
      <x:c r="W32" s="13"/>
      <x:c r="X32" s="12"/>
      <x:c r="Y32" s="13"/>
      <x:c r="Z32" s="12"/>
      <x:c r="AA32" s="12"/>
      <x:c r="AB32" s="12" t="s">
        <x:v>101</x:v>
      </x:c>
      <x:c r="AC32" s="12" t="s">
        <x:v>106</x:v>
      </x:c>
    </x:row>
    <x:row r="33" ht="22" customHeight="1">
      <x:c r="A33" s="15" t="str">
        <x:f>Raw_SRC_V16C_Repeats!A22</x:f>
        <x:v>chameleon</x:v>
      </x:c>
      <x:c r="B33" s="15" t="str">
        <x:f>"SRC-v16c repeat "&amp;Raw_SRC_V16C_Repeats!B22</x:f>
        <x:v>SRC-v16c repeat 0</x:v>
      </x:c>
      <x:c r="C33" s="15" t="s">
        <x:v>2</x:v>
      </x:c>
      <x:c r="D33" s="15"/>
      <x:c r="E33" s="16"/>
      <x:c r="F33" s="16"/>
      <x:c r="G33" s="16"/>
      <x:c r="H33" s="16"/>
      <x:c r="I33" s="16"/>
      <x:c r="J33" s="16"/>
      <x:c r="K33" s="16"/>
      <x:c r="L33" s="15" t="n">
        <x:f>Raw_SRC_V16C_Repeats!B22</x:f>
        <x:v>0</x:v>
      </x:c>
      <x:c r="M33" s="15" t="n">
        <x:f>Raw_SRC_V16C_Repeats!C22</x:f>
        <x:v>0</x:v>
      </x:c>
      <x:c r="N33" s="15" t="n">
        <x:f>Raw_SRC_V16C_Repeats!D22</x:f>
        <x:v>0</x:v>
      </x:c>
      <x:c r="O33" s="15" t="str">
        <x:f>Raw_SRC_V16C_Repeats!E22</x:f>
        <x:v>fixed_geom_gcn_split_id_0</x:v>
      </x:c>
      <x:c r="P33" s="16" t="n">
        <x:f>Raw_SRC_V16C_Repeats!F22*100</x:f>
        <x:v>98.992673992674</x:v>
      </x:c>
      <x:c r="Q33" s="16" t="n">
        <x:f>Raw_SRC_V16C_Repeats!G22*100</x:f>
        <x:v>73.9368998628258</x:v>
      </x:c>
      <x:c r="R33" s="16" t="n">
        <x:f>Raw_SRC_V16C_Repeats!H22*100</x:f>
        <x:v>72.5877192982456</x:v>
      </x:c>
      <x:c r="S33" s="17" t="n">
        <x:f>Raw_SRC_V16C_Repeats!H22</x:f>
        <x:v>0.725877192982456</x:v>
      </x:c>
      <x:c r="T33" s="16" t="n">
        <x:f>Raw_SRC_V16C_Repeats!I22*100</x:f>
        <x:v>73.8820270983192</x:v>
      </x:c>
      <x:c r="U33" s="15" t="n">
        <x:f>Raw_SRC_V16C_Repeats!J22</x:f>
        <x:v>8000</x:v>
      </x:c>
      <x:c r="V33" s="15" t="n">
        <x:f>Raw_SRC_V16C_Repeats!K22</x:f>
        <x:v>96</x:v>
      </x:c>
      <x:c r="W33" s="16" t="n">
        <x:f>Raw_SRC_V16C_Repeats!L22</x:f>
        <x:v>0.95</x:v>
      </x:c>
      <x:c r="X33" s="15" t="str">
        <x:f>Raw_SRC_V16C_Repeats!M22</x:f>
        <x:v>(0.01, 0.1, 1.0)</x:v>
      </x:c>
      <x:c r="Y33" s="16" t="n">
        <x:f>Raw_SRC_V16C_Repeats!N22</x:f>
        <x:v>0.6</x:v>
      </x:c>
      <x:c r="Z33" s="15" t="str">
        <x:f>Raw_SRC_V16C_Repeats!O22</x:f>
        <x:v>full</x:v>
      </x:c>
      <x:c r="AA33" s="15" t="str">
        <x:f>Raw_SRC_V16C_Repeats!P22</x:f>
        <x:v>grid_selected_by_val_only_no_test</x:v>
      </x:c>
      <x:c r="AB33" s="15" t="str">
        <x:f>Raw_SRC_V16C_Repeats!R22</x:f>
        <x:v>src_v16c_main_table_10repeat_rows(1).csv</x:v>
      </x:c>
      <x:c r="AC33" s="15" t="n">
        <x:f>Raw_SRC_V16C_Repeats!S22</x:f>
        <x:v>2</x:v>
      </x:c>
    </x:row>
    <x:row r="34" ht="22" customHeight="1">
      <x:c r="A34" s="15" t="str">
        <x:f>Raw_SRC_V16C_Repeats!A23</x:f>
        <x:v>chameleon</x:v>
      </x:c>
      <x:c r="B34" s="15" t="str">
        <x:f>"SRC-v16c repeat "&amp;Raw_SRC_V16C_Repeats!B23</x:f>
        <x:v>SRC-v16c repeat 1</x:v>
      </x:c>
      <x:c r="C34" s="15" t="s">
        <x:v>2</x:v>
      </x:c>
      <x:c r="D34" s="15"/>
      <x:c r="E34" s="16"/>
      <x:c r="F34" s="16"/>
      <x:c r="G34" s="16"/>
      <x:c r="H34" s="16"/>
      <x:c r="I34" s="16"/>
      <x:c r="J34" s="16"/>
      <x:c r="K34" s="16"/>
      <x:c r="L34" s="15" t="n">
        <x:f>Raw_SRC_V16C_Repeats!B23</x:f>
        <x:v>1</x:v>
      </x:c>
      <x:c r="M34" s="15" t="n">
        <x:f>Raw_SRC_V16C_Repeats!C23</x:f>
        <x:v>1</x:v>
      </x:c>
      <x:c r="N34" s="15" t="n">
        <x:f>Raw_SRC_V16C_Repeats!D23</x:f>
        <x:v>0</x:v>
      </x:c>
      <x:c r="O34" s="15" t="str">
        <x:f>Raw_SRC_V16C_Repeats!E23</x:f>
        <x:v>fixed_geom_gcn_split_id_1</x:v>
      </x:c>
      <x:c r="P34" s="16" t="n">
        <x:f>Raw_SRC_V16C_Repeats!F23*100</x:f>
        <x:v>98.4432234432234</x:v>
      </x:c>
      <x:c r="Q34" s="16" t="n">
        <x:f>Raw_SRC_V16C_Repeats!G23*100</x:f>
        <x:v>70.5075445816187</x:v>
      </x:c>
      <x:c r="R34" s="16" t="n">
        <x:f>Raw_SRC_V16C_Repeats!H23*100</x:f>
        <x:v>76.3157894736842</x:v>
      </x:c>
      <x:c r="S34" s="17" t="n">
        <x:f>Raw_SRC_V16C_Repeats!H23</x:f>
        <x:v>0.763157894736842</x:v>
      </x:c>
      <x:c r="T34" s="16" t="n">
        <x:f>Raw_SRC_V16C_Repeats!I23*100</x:f>
        <x:v>70.3316679354199</x:v>
      </x:c>
      <x:c r="U34" s="15" t="n">
        <x:f>Raw_SRC_V16C_Repeats!J23</x:f>
        <x:v>8000</x:v>
      </x:c>
      <x:c r="V34" s="15" t="n">
        <x:f>Raw_SRC_V16C_Repeats!K23</x:f>
        <x:v>64</x:v>
      </x:c>
      <x:c r="W34" s="16" t="n">
        <x:f>Raw_SRC_V16C_Repeats!L23</x:f>
        <x:v>0.9</x:v>
      </x:c>
      <x:c r="X34" s="15" t="str">
        <x:f>Raw_SRC_V16C_Repeats!M23</x:f>
        <x:v>(0.01, 0.1, 1.0)</x:v>
      </x:c>
      <x:c r="Y34" s="16" t="n">
        <x:f>Raw_SRC_V16C_Repeats!N23</x:f>
        <x:v>0.6</x:v>
      </x:c>
      <x:c r="Z34" s="15" t="str">
        <x:f>Raw_SRC_V16C_Repeats!O23</x:f>
        <x:v>full</x:v>
      </x:c>
      <x:c r="AA34" s="15" t="str">
        <x:f>Raw_SRC_V16C_Repeats!P23</x:f>
        <x:v>grid_selected_by_val_only_no_test</x:v>
      </x:c>
      <x:c r="AB34" s="15" t="str">
        <x:f>Raw_SRC_V16C_Repeats!R23</x:f>
        <x:v>src_v16c_main_table_10repeat_rows(1).csv</x:v>
      </x:c>
      <x:c r="AC34" s="15" t="n">
        <x:f>Raw_SRC_V16C_Repeats!S23</x:f>
        <x:v>3</x:v>
      </x:c>
    </x:row>
    <x:row r="35" ht="22" customHeight="1">
      <x:c r="A35" s="15" t="str">
        <x:f>Raw_SRC_V16C_Repeats!A24</x:f>
        <x:v>chameleon</x:v>
      </x:c>
      <x:c r="B35" s="15" t="str">
        <x:f>"SRC-v16c repeat "&amp;Raw_SRC_V16C_Repeats!B24</x:f>
        <x:v>SRC-v16c repeat 2</x:v>
      </x:c>
      <x:c r="C35" s="15" t="s">
        <x:v>2</x:v>
      </x:c>
      <x:c r="D35" s="15"/>
      <x:c r="E35" s="16"/>
      <x:c r="F35" s="16"/>
      <x:c r="G35" s="16"/>
      <x:c r="H35" s="16"/>
      <x:c r="I35" s="16"/>
      <x:c r="J35" s="16"/>
      <x:c r="K35" s="16"/>
      <x:c r="L35" s="15" t="n">
        <x:f>Raw_SRC_V16C_Repeats!B24</x:f>
        <x:v>2</x:v>
      </x:c>
      <x:c r="M35" s="15" t="n">
        <x:f>Raw_SRC_V16C_Repeats!C24</x:f>
        <x:v>2</x:v>
      </x:c>
      <x:c r="N35" s="15" t="n">
        <x:f>Raw_SRC_V16C_Repeats!D24</x:f>
        <x:v>0</x:v>
      </x:c>
      <x:c r="O35" s="15" t="str">
        <x:f>Raw_SRC_V16C_Repeats!E24</x:f>
        <x:v>fixed_geom_gcn_split_id_2</x:v>
      </x:c>
      <x:c r="P35" s="16" t="n">
        <x:f>Raw_SRC_V16C_Repeats!F24*100</x:f>
        <x:v>99.1758241758242</x:v>
      </x:c>
      <x:c r="Q35" s="16" t="n">
        <x:f>Raw_SRC_V16C_Repeats!G24*100</x:f>
        <x:v>73.9368998628258</x:v>
      </x:c>
      <x:c r="R35" s="16" t="n">
        <x:f>Raw_SRC_V16C_Repeats!H24*100</x:f>
        <x:v>70.3947368421053</x:v>
      </x:c>
      <x:c r="S35" s="17" t="n">
        <x:f>Raw_SRC_V16C_Repeats!H24</x:f>
        <x:v>0.703947368421053</x:v>
      </x:c>
      <x:c r="T35" s="16" t="n">
        <x:f>Raw_SRC_V16C_Repeats!I24*100</x:f>
        <x:v>74.75039079423091</x:v>
      </x:c>
      <x:c r="U35" s="15" t="n">
        <x:f>Raw_SRC_V16C_Repeats!J24</x:f>
        <x:v>8000</x:v>
      </x:c>
      <x:c r="V35" s="15" t="n">
        <x:f>Raw_SRC_V16C_Repeats!K24</x:f>
        <x:v>96</x:v>
      </x:c>
      <x:c r="W35" s="16" t="n">
        <x:f>Raw_SRC_V16C_Repeats!L24</x:f>
        <x:v>0.99</x:v>
      </x:c>
      <x:c r="X35" s="15" t="str">
        <x:f>Raw_SRC_V16C_Repeats!M24</x:f>
        <x:v>(0.01, 0.1, 1.0)</x:v>
      </x:c>
      <x:c r="Y35" s="16" t="n">
        <x:f>Raw_SRC_V16C_Repeats!N24</x:f>
        <x:v>0.5</x:v>
      </x:c>
      <x:c r="Z35" s="15" t="str">
        <x:f>Raw_SRC_V16C_Repeats!O24</x:f>
        <x:v>full</x:v>
      </x:c>
      <x:c r="AA35" s="15" t="str">
        <x:f>Raw_SRC_V16C_Repeats!P24</x:f>
        <x:v>grid_selected_by_val_only_no_test</x:v>
      </x:c>
      <x:c r="AB35" s="15" t="str">
        <x:f>Raw_SRC_V16C_Repeats!R24</x:f>
        <x:v>src_v16c_main_table_10repeat_rows(1).csv</x:v>
      </x:c>
      <x:c r="AC35" s="15" t="n">
        <x:f>Raw_SRC_V16C_Repeats!S24</x:f>
        <x:v>4</x:v>
      </x:c>
    </x:row>
    <x:row r="36" ht="22" customHeight="1">
      <x:c r="A36" s="15" t="str">
        <x:f>Raw_SRC_V16C_Repeats!A25</x:f>
        <x:v>chameleon</x:v>
      </x:c>
      <x:c r="B36" s="15" t="str">
        <x:f>"SRC-v16c repeat "&amp;Raw_SRC_V16C_Repeats!B25</x:f>
        <x:v>SRC-v16c repeat 3</x:v>
      </x:c>
      <x:c r="C36" s="15" t="s">
        <x:v>2</x:v>
      </x:c>
      <x:c r="D36" s="15"/>
      <x:c r="E36" s="16"/>
      <x:c r="F36" s="16"/>
      <x:c r="G36" s="16"/>
      <x:c r="H36" s="16"/>
      <x:c r="I36" s="16"/>
      <x:c r="J36" s="16"/>
      <x:c r="K36" s="16"/>
      <x:c r="L36" s="15" t="n">
        <x:f>Raw_SRC_V16C_Repeats!B25</x:f>
        <x:v>3</x:v>
      </x:c>
      <x:c r="M36" s="15" t="n">
        <x:f>Raw_SRC_V16C_Repeats!C25</x:f>
        <x:v>3</x:v>
      </x:c>
      <x:c r="N36" s="15" t="n">
        <x:f>Raw_SRC_V16C_Repeats!D25</x:f>
        <x:v>0</x:v>
      </x:c>
      <x:c r="O36" s="15" t="str">
        <x:f>Raw_SRC_V16C_Repeats!E25</x:f>
        <x:v>fixed_geom_gcn_split_id_3</x:v>
      </x:c>
      <x:c r="P36" s="16" t="n">
        <x:f>Raw_SRC_V16C_Repeats!F25*100</x:f>
        <x:v>96.3369963369963</x:v>
      </x:c>
      <x:c r="Q36" s="16" t="n">
        <x:f>Raw_SRC_V16C_Repeats!G25*100</x:f>
        <x:v>75.0342935528121</x:v>
      </x:c>
      <x:c r="R36" s="16" t="n">
        <x:f>Raw_SRC_V16C_Repeats!H25*100</x:f>
        <x:v>71.0526315789474</x:v>
      </x:c>
      <x:c r="S36" s="17" t="n">
        <x:f>Raw_SRC_V16C_Repeats!H25</x:f>
        <x:v>0.710526315789474</x:v>
      </x:c>
      <x:c r="T36" s="16" t="n">
        <x:f>Raw_SRC_V16C_Repeats!I25*100</x:f>
        <x:v>75.1133565221641</x:v>
      </x:c>
      <x:c r="U36" s="15" t="n">
        <x:f>Raw_SRC_V16C_Repeats!J25</x:f>
        <x:v>4000</x:v>
      </x:c>
      <x:c r="V36" s="15" t="n">
        <x:f>Raw_SRC_V16C_Repeats!K25</x:f>
        <x:v>64</x:v>
      </x:c>
      <x:c r="W36" s="16" t="n">
        <x:f>Raw_SRC_V16C_Repeats!L25</x:f>
        <x:v>0.95</x:v>
      </x:c>
      <x:c r="X36" s="15" t="str">
        <x:f>Raw_SRC_V16C_Repeats!M25</x:f>
        <x:v>(0.01, 0.1, 1.0)</x:v>
      </x:c>
      <x:c r="Y36" s="16" t="n">
        <x:f>Raw_SRC_V16C_Repeats!N25</x:f>
        <x:v>0.6</x:v>
      </x:c>
      <x:c r="Z36" s="15" t="str">
        <x:f>Raw_SRC_V16C_Repeats!O25</x:f>
        <x:v>full</x:v>
      </x:c>
      <x:c r="AA36" s="15" t="str">
        <x:f>Raw_SRC_V16C_Repeats!P25</x:f>
        <x:v>grid_selected_by_val_only_no_test</x:v>
      </x:c>
      <x:c r="AB36" s="15" t="str">
        <x:f>Raw_SRC_V16C_Repeats!R25</x:f>
        <x:v>src_v16c_main_table_10repeat_rows(1).csv</x:v>
      </x:c>
      <x:c r="AC36" s="15" t="n">
        <x:f>Raw_SRC_V16C_Repeats!S25</x:f>
        <x:v>5</x:v>
      </x:c>
    </x:row>
    <x:row r="37" ht="22" customHeight="1">
      <x:c r="A37" s="15" t="str">
        <x:f>Raw_SRC_V16C_Repeats!A26</x:f>
        <x:v>chameleon</x:v>
      </x:c>
      <x:c r="B37" s="15" t="str">
        <x:f>"SRC-v16c repeat "&amp;Raw_SRC_V16C_Repeats!B26</x:f>
        <x:v>SRC-v16c repeat 4</x:v>
      </x:c>
      <x:c r="C37" s="15" t="s">
        <x:v>2</x:v>
      </x:c>
      <x:c r="D37" s="15"/>
      <x:c r="E37" s="16"/>
      <x:c r="F37" s="16"/>
      <x:c r="G37" s="16"/>
      <x:c r="H37" s="16"/>
      <x:c r="I37" s="16"/>
      <x:c r="J37" s="16"/>
      <x:c r="K37" s="16"/>
      <x:c r="L37" s="15" t="n">
        <x:f>Raw_SRC_V16C_Repeats!B26</x:f>
        <x:v>4</x:v>
      </x:c>
      <x:c r="M37" s="15" t="n">
        <x:f>Raw_SRC_V16C_Repeats!C26</x:f>
        <x:v>4</x:v>
      </x:c>
      <x:c r="N37" s="15" t="n">
        <x:f>Raw_SRC_V16C_Repeats!D26</x:f>
        <x:v>0</x:v>
      </x:c>
      <x:c r="O37" s="15" t="str">
        <x:f>Raw_SRC_V16C_Repeats!E26</x:f>
        <x:v>fixed_geom_gcn_split_id_4</x:v>
      </x:c>
      <x:c r="P37" s="16" t="n">
        <x:f>Raw_SRC_V16C_Repeats!F26*100</x:f>
        <x:v>98.0769230769231</x:v>
      </x:c>
      <x:c r="Q37" s="16" t="n">
        <x:f>Raw_SRC_V16C_Repeats!G26*100</x:f>
        <x:v>75.1714677640604</x:v>
      </x:c>
      <x:c r="R37" s="16" t="n">
        <x:f>Raw_SRC_V16C_Repeats!H26*100</x:f>
        <x:v>74.3421052631579</x:v>
      </x:c>
      <x:c r="S37" s="17" t="n">
        <x:f>Raw_SRC_V16C_Repeats!H26</x:f>
        <x:v>0.743421052631579</x:v>
      </x:c>
      <x:c r="T37" s="16" t="n">
        <x:f>Raw_SRC_V16C_Repeats!I26*100</x:f>
        <x:v>75.4423071605447</x:v>
      </x:c>
      <x:c r="U37" s="15" t="n">
        <x:f>Raw_SRC_V16C_Repeats!J26</x:f>
        <x:v>6000</x:v>
      </x:c>
      <x:c r="V37" s="15" t="n">
        <x:f>Raw_SRC_V16C_Repeats!K26</x:f>
        <x:v>48</x:v>
      </x:c>
      <x:c r="W37" s="16" t="n">
        <x:f>Raw_SRC_V16C_Repeats!L26</x:f>
        <x:v>0.9</x:v>
      </x:c>
      <x:c r="X37" s="15" t="str">
        <x:f>Raw_SRC_V16C_Repeats!M26</x:f>
        <x:v>(0.01, 0.1, 1.0)</x:v>
      </x:c>
      <x:c r="Y37" s="16" t="n">
        <x:f>Raw_SRC_V16C_Repeats!N26</x:f>
        <x:v>0.5</x:v>
      </x:c>
      <x:c r="Z37" s="15" t="str">
        <x:f>Raw_SRC_V16C_Repeats!O26</x:f>
        <x:v>full</x:v>
      </x:c>
      <x:c r="AA37" s="15" t="str">
        <x:f>Raw_SRC_V16C_Repeats!P26</x:f>
        <x:v>grid_selected_by_val_only_no_test</x:v>
      </x:c>
      <x:c r="AB37" s="15" t="str">
        <x:f>Raw_SRC_V16C_Repeats!R26</x:f>
        <x:v>src_v16c_main_table_10repeat_rows(1).csv</x:v>
      </x:c>
      <x:c r="AC37" s="15" t="n">
        <x:f>Raw_SRC_V16C_Repeats!S26</x:f>
        <x:v>6</x:v>
      </x:c>
    </x:row>
    <x:row r="38" ht="22" customHeight="1">
      <x:c r="A38" s="15" t="str">
        <x:f>Raw_SRC_V16C_Repeats!A27</x:f>
        <x:v>chameleon</x:v>
      </x:c>
      <x:c r="B38" s="15" t="str">
        <x:f>"SRC-v16c repeat "&amp;Raw_SRC_V16C_Repeats!B27</x:f>
        <x:v>SRC-v16c repeat 5</x:v>
      </x:c>
      <x:c r="C38" s="15" t="s">
        <x:v>2</x:v>
      </x:c>
      <x:c r="D38" s="15"/>
      <x:c r="E38" s="16"/>
      <x:c r="F38" s="16"/>
      <x:c r="G38" s="16"/>
      <x:c r="H38" s="16"/>
      <x:c r="I38" s="16"/>
      <x:c r="J38" s="16"/>
      <x:c r="K38" s="16"/>
      <x:c r="L38" s="15" t="n">
        <x:f>Raw_SRC_V16C_Repeats!B27</x:f>
        <x:v>5</x:v>
      </x:c>
      <x:c r="M38" s="15" t="n">
        <x:f>Raw_SRC_V16C_Repeats!C27</x:f>
        <x:v>5</x:v>
      </x:c>
      <x:c r="N38" s="15" t="n">
        <x:f>Raw_SRC_V16C_Repeats!D27</x:f>
        <x:v>0</x:v>
      </x:c>
      <x:c r="O38" s="15" t="str">
        <x:f>Raw_SRC_V16C_Repeats!E27</x:f>
        <x:v>fixed_geom_gcn_split_id_5</x:v>
      </x:c>
      <x:c r="P38" s="16" t="n">
        <x:f>Raw_SRC_V16C_Repeats!F27*100</x:f>
        <x:v>94.5054945054945</x:v>
      </x:c>
      <x:c r="Q38" s="16" t="n">
        <x:f>Raw_SRC_V16C_Repeats!G27*100</x:f>
        <x:v>73.2510288065844</x:v>
      </x:c>
      <x:c r="R38" s="16" t="n">
        <x:f>Raw_SRC_V16C_Repeats!H27*100</x:f>
        <x:v>73.4649122807018</x:v>
      </x:c>
      <x:c r="S38" s="17" t="n">
        <x:f>Raw_SRC_V16C_Repeats!H27</x:f>
        <x:v>0.734649122807018</x:v>
      </x:c>
      <x:c r="T38" s="16" t="n">
        <x:f>Raw_SRC_V16C_Repeats!I27*100</x:f>
        <x:v>73.3804210544653</x:v>
      </x:c>
      <x:c r="U38" s="15" t="n">
        <x:f>Raw_SRC_V16C_Repeats!J27</x:f>
        <x:v>5000</x:v>
      </x:c>
      <x:c r="V38" s="15" t="n">
        <x:f>Raw_SRC_V16C_Repeats!K27</x:f>
        <x:v>64</x:v>
      </x:c>
      <x:c r="W38" s="16" t="n">
        <x:f>Raw_SRC_V16C_Repeats!L27</x:f>
        <x:v>0.9</x:v>
      </x:c>
      <x:c r="X38" s="15" t="str">
        <x:f>Raw_SRC_V16C_Repeats!M27</x:f>
        <x:v>(0.01, 0.1, 1.0)</x:v>
      </x:c>
      <x:c r="Y38" s="16" t="n">
        <x:f>Raw_SRC_V16C_Repeats!N27</x:f>
        <x:v>0.8</x:v>
      </x:c>
      <x:c r="Z38" s="15" t="str">
        <x:f>Raw_SRC_V16C_Repeats!O27</x:f>
        <x:v>full</x:v>
      </x:c>
      <x:c r="AA38" s="15" t="str">
        <x:f>Raw_SRC_V16C_Repeats!P27</x:f>
        <x:v>grid_selected_by_val_only_no_test</x:v>
      </x:c>
      <x:c r="AB38" s="15" t="str">
        <x:f>Raw_SRC_V16C_Repeats!R27</x:f>
        <x:v>src_v16c_main_table_10repeat_rows(1).csv</x:v>
      </x:c>
      <x:c r="AC38" s="15" t="n">
        <x:f>Raw_SRC_V16C_Repeats!S27</x:f>
        <x:v>7</x:v>
      </x:c>
    </x:row>
    <x:row r="39" ht="22" customHeight="1">
      <x:c r="A39" s="15" t="str">
        <x:f>Raw_SRC_V16C_Repeats!A28</x:f>
        <x:v>chameleon</x:v>
      </x:c>
      <x:c r="B39" s="15" t="str">
        <x:f>"SRC-v16c repeat "&amp;Raw_SRC_V16C_Repeats!B28</x:f>
        <x:v>SRC-v16c repeat 6</x:v>
      </x:c>
      <x:c r="C39" s="15" t="s">
        <x:v>2</x:v>
      </x:c>
      <x:c r="D39" s="15"/>
      <x:c r="E39" s="16"/>
      <x:c r="F39" s="16"/>
      <x:c r="G39" s="16"/>
      <x:c r="H39" s="16"/>
      <x:c r="I39" s="16"/>
      <x:c r="J39" s="16"/>
      <x:c r="K39" s="16"/>
      <x:c r="L39" s="15" t="n">
        <x:f>Raw_SRC_V16C_Repeats!B28</x:f>
        <x:v>6</x:v>
      </x:c>
      <x:c r="M39" s="15" t="n">
        <x:f>Raw_SRC_V16C_Repeats!C28</x:f>
        <x:v>6</x:v>
      </x:c>
      <x:c r="N39" s="15" t="n">
        <x:f>Raw_SRC_V16C_Repeats!D28</x:f>
        <x:v>0</x:v>
      </x:c>
      <x:c r="O39" s="15" t="str">
        <x:f>Raw_SRC_V16C_Repeats!E28</x:f>
        <x:v>fixed_geom_gcn_split_id_6</x:v>
      </x:c>
      <x:c r="P39" s="16" t="n">
        <x:f>Raw_SRC_V16C_Repeats!F28*100</x:f>
        <x:v>96.0622710622711</x:v>
      </x:c>
      <x:c r="Q39" s="16" t="n">
        <x:f>Raw_SRC_V16C_Repeats!G28*100</x:f>
        <x:v>71.0562414266118</x:v>
      </x:c>
      <x:c r="R39" s="16" t="n">
        <x:f>Raw_SRC_V16C_Repeats!H28*100</x:f>
        <x:v>70.6140350877193</x:v>
      </x:c>
      <x:c r="S39" s="17" t="n">
        <x:f>Raw_SRC_V16C_Repeats!H28</x:f>
        <x:v>0.706140350877193</x:v>
      </x:c>
      <x:c r="T39" s="16" t="n">
        <x:f>Raw_SRC_V16C_Repeats!I28*100</x:f>
        <x:v>70.92076629373871</x:v>
      </x:c>
      <x:c r="U39" s="15" t="n">
        <x:f>Raw_SRC_V16C_Repeats!J28</x:f>
        <x:v>8000</x:v>
      </x:c>
      <x:c r="V39" s="15" t="n">
        <x:f>Raw_SRC_V16C_Repeats!K28</x:f>
        <x:v>96</x:v>
      </x:c>
      <x:c r="W39" s="16" t="n">
        <x:f>Raw_SRC_V16C_Repeats!L28</x:f>
        <x:v>0.95</x:v>
      </x:c>
      <x:c r="X39" s="15" t="str">
        <x:f>Raw_SRC_V16C_Repeats!M28</x:f>
        <x:v>(0.1, 1.0, 10.0)</x:v>
      </x:c>
      <x:c r="Y39" s="16" t="n">
        <x:f>Raw_SRC_V16C_Repeats!N28</x:f>
        <x:v>0.7</x:v>
      </x:c>
      <x:c r="Z39" s="15" t="str">
        <x:f>Raw_SRC_V16C_Repeats!O28</x:f>
        <x:v>full</x:v>
      </x:c>
      <x:c r="AA39" s="15" t="str">
        <x:f>Raw_SRC_V16C_Repeats!P28</x:f>
        <x:v>grid_selected_by_val_only_no_test</x:v>
      </x:c>
      <x:c r="AB39" s="15" t="str">
        <x:f>Raw_SRC_V16C_Repeats!R28</x:f>
        <x:v>src_v16c_main_table_10repeat_rows(1).csv</x:v>
      </x:c>
      <x:c r="AC39" s="15" t="n">
        <x:f>Raw_SRC_V16C_Repeats!S28</x:f>
        <x:v>8</x:v>
      </x:c>
    </x:row>
    <x:row r="40" ht="22" customHeight="1">
      <x:c r="A40" s="15" t="str">
        <x:f>Raw_SRC_V16C_Repeats!A29</x:f>
        <x:v>chameleon</x:v>
      </x:c>
      <x:c r="B40" s="15" t="str">
        <x:f>"SRC-v16c repeat "&amp;Raw_SRC_V16C_Repeats!B29</x:f>
        <x:v>SRC-v16c repeat 7</x:v>
      </x:c>
      <x:c r="C40" s="15" t="s">
        <x:v>2</x:v>
      </x:c>
      <x:c r="D40" s="15"/>
      <x:c r="E40" s="16"/>
      <x:c r="F40" s="16"/>
      <x:c r="G40" s="16"/>
      <x:c r="H40" s="16"/>
      <x:c r="I40" s="16"/>
      <x:c r="J40" s="16"/>
      <x:c r="K40" s="16"/>
      <x:c r="L40" s="15" t="n">
        <x:f>Raw_SRC_V16C_Repeats!B29</x:f>
        <x:v>7</x:v>
      </x:c>
      <x:c r="M40" s="15" t="n">
        <x:f>Raw_SRC_V16C_Repeats!C29</x:f>
        <x:v>7</x:v>
      </x:c>
      <x:c r="N40" s="15" t="n">
        <x:f>Raw_SRC_V16C_Repeats!D29</x:f>
        <x:v>0</x:v>
      </x:c>
      <x:c r="O40" s="15" t="str">
        <x:f>Raw_SRC_V16C_Repeats!E29</x:f>
        <x:v>fixed_geom_gcn_split_id_7</x:v>
      </x:c>
      <x:c r="P40" s="16" t="n">
        <x:f>Raw_SRC_V16C_Repeats!F29*100</x:f>
        <x:v>99.5421245421245</x:v>
      </x:c>
      <x:c r="Q40" s="16" t="n">
        <x:f>Raw_SRC_V16C_Repeats!G29*100</x:f>
        <x:v>67.9012345679012</x:v>
      </x:c>
      <x:c r="R40" s="16" t="n">
        <x:f>Raw_SRC_V16C_Repeats!H29*100</x:f>
        <x:v>71.2719298245614</x:v>
      </x:c>
      <x:c r="S40" s="17" t="n">
        <x:f>Raw_SRC_V16C_Repeats!H29</x:f>
        <x:v>0.712719298245614</x:v>
      </x:c>
      <x:c r="T40" s="16" t="n">
        <x:f>Raw_SRC_V16C_Repeats!I29*100</x:f>
        <x:v>67.9908578977675</x:v>
      </x:c>
      <x:c r="U40" s="15" t="n">
        <x:f>Raw_SRC_V16C_Repeats!J29</x:f>
        <x:v>8000</x:v>
      </x:c>
      <x:c r="V40" s="15" t="n">
        <x:f>Raw_SRC_V16C_Repeats!K29</x:f>
        <x:v>96</x:v>
      </x:c>
      <x:c r="W40" s="16" t="n">
        <x:f>Raw_SRC_V16C_Repeats!L29</x:f>
        <x:v>0.99</x:v>
      </x:c>
      <x:c r="X40" s="15" t="str">
        <x:f>Raw_SRC_V16C_Repeats!M29</x:f>
        <x:v>(0.01, 0.1, 1.0)</x:v>
      </x:c>
      <x:c r="Y40" s="16" t="n">
        <x:f>Raw_SRC_V16C_Repeats!N29</x:f>
        <x:v>0.6</x:v>
      </x:c>
      <x:c r="Z40" s="15" t="str">
        <x:f>Raw_SRC_V16C_Repeats!O29</x:f>
        <x:v>full</x:v>
      </x:c>
      <x:c r="AA40" s="15" t="str">
        <x:f>Raw_SRC_V16C_Repeats!P29</x:f>
        <x:v>grid_selected_by_val_only_no_test</x:v>
      </x:c>
      <x:c r="AB40" s="15" t="str">
        <x:f>Raw_SRC_V16C_Repeats!R29</x:f>
        <x:v>src_v16c_main_table_10repeat_rows(1).csv</x:v>
      </x:c>
      <x:c r="AC40" s="15" t="n">
        <x:f>Raw_SRC_V16C_Repeats!S29</x:f>
        <x:v>9</x:v>
      </x:c>
    </x:row>
    <x:row r="41" ht="22" customHeight="1">
      <x:c r="A41" s="15" t="str">
        <x:f>Raw_SRC_V16C_Repeats!A30</x:f>
        <x:v>chameleon</x:v>
      </x:c>
      <x:c r="B41" s="15" t="str">
        <x:f>"SRC-v16c repeat "&amp;Raw_SRC_V16C_Repeats!B30</x:f>
        <x:v>SRC-v16c repeat 8</x:v>
      </x:c>
      <x:c r="C41" s="15" t="s">
        <x:v>2</x:v>
      </x:c>
      <x:c r="D41" s="15"/>
      <x:c r="E41" s="16"/>
      <x:c r="F41" s="16"/>
      <x:c r="G41" s="16"/>
      <x:c r="H41" s="16"/>
      <x:c r="I41" s="16"/>
      <x:c r="J41" s="16"/>
      <x:c r="K41" s="16"/>
      <x:c r="L41" s="15" t="n">
        <x:f>Raw_SRC_V16C_Repeats!B30</x:f>
        <x:v>8</x:v>
      </x:c>
      <x:c r="M41" s="15" t="n">
        <x:f>Raw_SRC_V16C_Repeats!C30</x:f>
        <x:v>8</x:v>
      </x:c>
      <x:c r="N41" s="15" t="n">
        <x:f>Raw_SRC_V16C_Repeats!D30</x:f>
        <x:v>0</x:v>
      </x:c>
      <x:c r="O41" s="15" t="str">
        <x:f>Raw_SRC_V16C_Repeats!E30</x:f>
        <x:v>fixed_geom_gcn_split_id_8</x:v>
      </x:c>
      <x:c r="P41" s="16" t="n">
        <x:f>Raw_SRC_V16C_Repeats!F30*100</x:f>
        <x:v>98.7179487179487</x:v>
      </x:c>
      <x:c r="Q41" s="16" t="n">
        <x:f>Raw_SRC_V16C_Repeats!G30*100</x:f>
        <x:v>73.3882030178326</x:v>
      </x:c>
      <x:c r="R41" s="16" t="n">
        <x:f>Raw_SRC_V16C_Repeats!H30*100</x:f>
        <x:v>71.92982456140349</x:v>
      </x:c>
      <x:c r="S41" s="17" t="n">
        <x:f>Raw_SRC_V16C_Repeats!H30</x:f>
        <x:v>0.719298245614035</x:v>
      </x:c>
      <x:c r="T41" s="16" t="n">
        <x:f>Raw_SRC_V16C_Repeats!I30*100</x:f>
        <x:v>73.45779395556859</x:v>
      </x:c>
      <x:c r="U41" s="15" t="n">
        <x:f>Raw_SRC_V16C_Repeats!J30</x:f>
        <x:v>8000</x:v>
      </x:c>
      <x:c r="V41" s="15" t="n">
        <x:f>Raw_SRC_V16C_Repeats!K30</x:f>
        <x:v>64</x:v>
      </x:c>
      <x:c r="W41" s="16" t="n">
        <x:f>Raw_SRC_V16C_Repeats!L30</x:f>
        <x:v>0.9</x:v>
      </x:c>
      <x:c r="X41" s="15" t="str">
        <x:f>Raw_SRC_V16C_Repeats!M30</x:f>
        <x:v>(0.01, 0.1, 1.0)</x:v>
      </x:c>
      <x:c r="Y41" s="16" t="n">
        <x:f>Raw_SRC_V16C_Repeats!N30</x:f>
        <x:v>0.3</x:v>
      </x:c>
      <x:c r="Z41" s="15" t="str">
        <x:f>Raw_SRC_V16C_Repeats!O30</x:f>
        <x:v>full</x:v>
      </x:c>
      <x:c r="AA41" s="15" t="str">
        <x:f>Raw_SRC_V16C_Repeats!P30</x:f>
        <x:v>grid_selected_by_val_only_no_test</x:v>
      </x:c>
      <x:c r="AB41" s="15" t="str">
        <x:f>Raw_SRC_V16C_Repeats!R30</x:f>
        <x:v>src_v16c_main_table_10repeat_rows(1).csv</x:v>
      </x:c>
      <x:c r="AC41" s="15" t="n">
        <x:f>Raw_SRC_V16C_Repeats!S30</x:f>
        <x:v>10</x:v>
      </x:c>
    </x:row>
    <x:row r="42" ht="22" customHeight="1">
      <x:c r="A42" s="15" t="str">
        <x:f>Raw_SRC_V16C_Repeats!A31</x:f>
        <x:v>chameleon</x:v>
      </x:c>
      <x:c r="B42" s="15" t="str">
        <x:f>"SRC-v16c repeat "&amp;Raw_SRC_V16C_Repeats!B31</x:f>
        <x:v>SRC-v16c repeat 9</x:v>
      </x:c>
      <x:c r="C42" s="15" t="s">
        <x:v>2</x:v>
      </x:c>
      <x:c r="D42" s="15"/>
      <x:c r="E42" s="16"/>
      <x:c r="F42" s="16"/>
      <x:c r="G42" s="16"/>
      <x:c r="H42" s="16"/>
      <x:c r="I42" s="16"/>
      <x:c r="J42" s="16"/>
      <x:c r="K42" s="16"/>
      <x:c r="L42" s="15" t="n">
        <x:f>Raw_SRC_V16C_Repeats!B31</x:f>
        <x:v>9</x:v>
      </x:c>
      <x:c r="M42" s="15" t="n">
        <x:f>Raw_SRC_V16C_Repeats!C31</x:f>
        <x:v>9</x:v>
      </x:c>
      <x:c r="N42" s="15" t="n">
        <x:f>Raw_SRC_V16C_Repeats!D31</x:f>
        <x:v>0</x:v>
      </x:c>
      <x:c r="O42" s="15" t="str">
        <x:f>Raw_SRC_V16C_Repeats!E31</x:f>
        <x:v>fixed_geom_gcn_split_id_9</x:v>
      </x:c>
      <x:c r="P42" s="16" t="n">
        <x:f>Raw_SRC_V16C_Repeats!F31*100</x:f>
        <x:v>97.7106227106227</x:v>
      </x:c>
      <x:c r="Q42" s="16" t="n">
        <x:f>Raw_SRC_V16C_Repeats!G31*100</x:f>
        <x:v>73.7997256515775</x:v>
      </x:c>
      <x:c r="R42" s="16" t="n">
        <x:f>Raw_SRC_V16C_Repeats!H31*100</x:f>
        <x:v>72.8070175438597</x:v>
      </x:c>
      <x:c r="S42" s="17" t="n">
        <x:f>Raw_SRC_V16C_Repeats!H31</x:f>
        <x:v>0.728070175438597</x:v>
      </x:c>
      <x:c r="T42" s="16" t="n">
        <x:f>Raw_SRC_V16C_Repeats!I31*100</x:f>
        <x:v>74.00910507772551</x:v>
      </x:c>
      <x:c r="U42" s="15" t="n">
        <x:f>Raw_SRC_V16C_Repeats!J31</x:f>
        <x:v>8000</x:v>
      </x:c>
      <x:c r="V42" s="15" t="n">
        <x:f>Raw_SRC_V16C_Repeats!K31</x:f>
        <x:v>32</x:v>
      </x:c>
      <x:c r="W42" s="16" t="n">
        <x:f>Raw_SRC_V16C_Repeats!L31</x:f>
        <x:v>0.9</x:v>
      </x:c>
      <x:c r="X42" s="15" t="str">
        <x:f>Raw_SRC_V16C_Repeats!M31</x:f>
        <x:v>(0.01, 0.1, 1.0)</x:v>
      </x:c>
      <x:c r="Y42" s="16" t="n">
        <x:f>Raw_SRC_V16C_Repeats!N31</x:f>
        <x:v>0.6</x:v>
      </x:c>
      <x:c r="Z42" s="15" t="str">
        <x:f>Raw_SRC_V16C_Repeats!O31</x:f>
        <x:v>full</x:v>
      </x:c>
      <x:c r="AA42" s="15" t="str">
        <x:f>Raw_SRC_V16C_Repeats!P31</x:f>
        <x:v>grid_selected_by_val_only_no_test</x:v>
      </x:c>
      <x:c r="AB42" s="15" t="str">
        <x:f>Raw_SRC_V16C_Repeats!R31</x:f>
        <x:v>src_v16c_main_table_10repeat_rows(1).csv</x:v>
      </x:c>
      <x:c r="AC42" s="15" t="n">
        <x:f>Raw_SRC_V16C_Repeats!S31</x:f>
        <x:v>11</x:v>
      </x:c>
    </x:row>
    <x:row r="43" ht="22" customHeight="1">
      <x:c r="A43" s="2"/>
      <x:c r="B43" s="2"/>
      <x:c r="C43" s="2"/>
      <x:c r="D43" s="2"/>
      <x:c r="E43" s="18"/>
      <x:c r="F43" s="18"/>
      <x:c r="G43" s="18"/>
      <x:c r="H43" s="18"/>
      <x:c r="I43" s="18"/>
      <x:c r="J43" s="18"/>
      <x:c r="K43" s="18"/>
      <x:c r="L43" s="2"/>
      <x:c r="M43" s="2"/>
      <x:c r="N43" s="2"/>
      <x:c r="O43" s="2"/>
      <x:c r="P43" s="18"/>
      <x:c r="Q43" s="18"/>
      <x:c r="R43" s="18"/>
      <x:c r="S43" s="19"/>
      <x:c r="T43" s="18"/>
      <x:c r="U43" s="2"/>
      <x:c r="V43" s="2"/>
      <x:c r="W43" s="18"/>
      <x:c r="X43" s="2"/>
      <x:c r="Y43" s="18"/>
      <x:c r="Z43" s="2"/>
      <x:c r="AA43" s="2"/>
      <x:c r="AB43" s="2"/>
      <x:c r="AC43" s="2"/>
    </x:row>
    <x:row r="44" ht="22" customHeight="1">
      <x:c r="A44" s="6" t="s">
        <x:v>107</x:v>
      </x:c>
    </x:row>
    <x:row r="45" ht="22" customHeight="1">
      <x:c r="A45" s="7" t="s">
        <x:v>53</x:v>
      </x:c>
      <x:c r="B45" s="7" t="s">
        <x:v>99</x:v>
      </x:c>
      <x:c r="C45" s="7" t="str">
        <x:v>GraphSAGE</x:v>
      </x:c>
      <x:c r="D45" s="8" t="n">
        <x:f>COUNT(Raw_Strongest_Baseline_Repeats!H32:H41)</x:f>
        <x:v>10</x:v>
      </x:c>
      <x:c r="E45" s="9" t="n">
        <x:f>AVERAGE(Raw_Strongest_Baseline_Repeats!F32:F41)*100</x:f>
        <x:v>98.04597675800323</x:v>
      </x:c>
      <x:c r="F45" s="9" t="n">
        <x:f>_xlfn.STDEV.S(Raw_Strongest_Baseline_Repeats!F32:F41)*100</x:f>
        <x:v>2.711929191003528</x:v>
      </x:c>
      <x:c r="G45" s="9" t="n">
        <x:f>AVERAGE(Raw_Strongest_Baseline_Repeats!G32:G41)*100</x:f>
        <x:v>78.30508470535278</x:v>
      </x:c>
      <x:c r="H45" s="9" t="n">
        <x:f>_xlfn.STDEV.S(Raw_Strongest_Baseline_Repeats!G32:G41)*100</x:f>
        <x:v>4.976884906513083</x:v>
      </x:c>
      <x:c r="I45" s="9" t="n">
        <x:f>AVERAGE(Raw_Strongest_Baseline_Repeats!H32:H41)*100</x:f>
        <x:v>72.43243217468262</x:v>
      </x:c>
      <x:c r="J45" s="9" t="n">
        <x:f>_xlfn.STDEV.S(Raw_Strongest_Baseline_Repeats!H32:H41)*100</x:f>
        <x:v>6.471453625046545</x:v>
      </x:c>
      <x:c r="K45" s="9"/>
      <x:c r="L45" s="8"/>
      <x:c r="M45" s="8"/>
      <x:c r="N45" s="8"/>
      <x:c r="O45" s="8"/>
      <x:c r="P45" s="9"/>
      <x:c r="Q45" s="9"/>
      <x:c r="R45" s="9"/>
      <x:c r="S45" s="10"/>
      <x:c r="T45" s="9"/>
      <x:c r="U45" s="8"/>
      <x:c r="V45" s="8"/>
      <x:c r="W45" s="9"/>
      <x:c r="X45" s="8"/>
      <x:c r="Y45" s="9"/>
      <x:c r="Z45" s="8"/>
      <x:c r="AA45" s="8"/>
      <x:c r="AB45" s="8" t="str">
        <x:v>strongest_baseline_repeats_merged.csv</x:v>
      </x:c>
      <x:c r="AC45" s="8" t="str">
        <x:v>rows 32-41 in Raw_Strongest_Baseline_Repeats</x:v>
      </x:c>
    </x:row>
    <x:row r="46" ht="22" customHeight="1">
      <x:c r="A46" s="11" t="s">
        <x:v>53</x:v>
      </x:c>
      <x:c r="B46" s="11" t="s">
        <x:v>100</x:v>
      </x:c>
      <x:c r="C46" s="11" t="s">
        <x:v>2</x:v>
      </x:c>
      <x:c r="D46" s="12" t="n">
        <x:f>COUNT(Raw_SRC_V16C_Repeats!H32:H41)</x:f>
        <x:v>10</x:v>
      </x:c>
      <x:c r="E46" s="13" t="n">
        <x:f>AVERAGE(Raw_SRC_V16C_Repeats!F32:F41)*100</x:f>
        <x:v>99.88505747126437</x:v>
      </x:c>
      <x:c r="F46" s="13" t="n">
        <x:f>_xlfn.STDEV.S(Raw_SRC_V16C_Repeats!F32:F41)*100</x:f>
        <x:v>0.3634801908239442</x:v>
      </x:c>
      <x:c r="G46" s="13" t="n">
        <x:f>AVERAGE(Raw_SRC_V16C_Repeats!G32:G41)*100</x:f>
        <x:v>80.5084745762712</x:v>
      </x:c>
      <x:c r="H46" s="13" t="n">
        <x:f>_xlfn.STDEV.S(Raw_SRC_V16C_Repeats!G32:G41)*100</x:f>
        <x:v>3.2208345341783393</x:v>
      </x:c>
      <x:c r="I46" s="13" t="n">
        <x:f>AVERAGE(Raw_SRC_V16C_Repeats!H32:H41)*100</x:f>
        <x:v>75.40540540540542</x:v>
      </x:c>
      <x:c r="J46" s="13" t="n">
        <x:f>_xlfn.STDEV.S(Raw_SRC_V16C_Repeats!H32:H41)*100</x:f>
        <x:v>7.257705967972182</x:v>
      </x:c>
      <x:c r="K46" s="13" t="n">
        <x:f>I46-I45</x:f>
        <x:v>2.9729732307228005</x:v>
      </x:c>
      <x:c r="L46" s="12"/>
      <x:c r="M46" s="12"/>
      <x:c r="N46" s="12"/>
      <x:c r="O46" s="12"/>
      <x:c r="P46" s="13"/>
      <x:c r="Q46" s="13"/>
      <x:c r="R46" s="13"/>
      <x:c r="S46" s="14"/>
      <x:c r="T46" s="13"/>
      <x:c r="U46" s="12"/>
      <x:c r="V46" s="12"/>
      <x:c r="W46" s="13"/>
      <x:c r="X46" s="12"/>
      <x:c r="Y46" s="13"/>
      <x:c r="Z46" s="12"/>
      <x:c r="AA46" s="12"/>
      <x:c r="AB46" s="12" t="s">
        <x:v>101</x:v>
      </x:c>
      <x:c r="AC46" s="12" t="s">
        <x:v>108</x:v>
      </x:c>
    </x:row>
    <x:row r="47" ht="22" customHeight="1">
      <x:c r="A47" s="15" t="str">
        <x:f>Raw_SRC_V16C_Repeats!A32</x:f>
        <x:v>cornell</x:v>
      </x:c>
      <x:c r="B47" s="15" t="str">
        <x:f>"SRC-v16c repeat "&amp;Raw_SRC_V16C_Repeats!B32</x:f>
        <x:v>SRC-v16c repeat 0</x:v>
      </x:c>
      <x:c r="C47" s="15" t="s">
        <x:v>2</x:v>
      </x:c>
      <x:c r="D47" s="15"/>
      <x:c r="E47" s="16"/>
      <x:c r="F47" s="16"/>
      <x:c r="G47" s="16"/>
      <x:c r="H47" s="16"/>
      <x:c r="I47" s="16"/>
      <x:c r="J47" s="16"/>
      <x:c r="K47" s="16"/>
      <x:c r="L47" s="15" t="n">
        <x:f>Raw_SRC_V16C_Repeats!B32</x:f>
        <x:v>0</x:v>
      </x:c>
      <x:c r="M47" s="15" t="n">
        <x:f>Raw_SRC_V16C_Repeats!C32</x:f>
        <x:v>20260419</x:v>
      </x:c>
      <x:c r="N47" s="15" t="n">
        <x:f>Raw_SRC_V16C_Repeats!D32</x:f>
        <x:v>0</x:v>
      </x:c>
      <x:c r="O47" s="15" t="str">
        <x:f>Raw_SRC_V16C_Repeats!E32</x:f>
        <x:v>random_stratified_matching_fixed_split0_class_counts</x:v>
      </x:c>
      <x:c r="P47" s="16" t="n">
        <x:f>Raw_SRC_V16C_Repeats!F32*100</x:f>
        <x:v>100</x:v>
      </x:c>
      <x:c r="Q47" s="16" t="n">
        <x:f>Raw_SRC_V16C_Repeats!G32*100</x:f>
        <x:v>77.9661016949153</x:v>
      </x:c>
      <x:c r="R47" s="16" t="n">
        <x:f>Raw_SRC_V16C_Repeats!H32*100</x:f>
        <x:v>81.0810810810811</x:v>
      </x:c>
      <x:c r="S47" s="17" t="n">
        <x:f>Raw_SRC_V16C_Repeats!H32</x:f>
        <x:v>0.810810810810811</x:v>
      </x:c>
      <x:c r="T47" s="16" t="n">
        <x:f>Raw_SRC_V16C_Repeats!I32*100</x:f>
        <x:v>58.356723921240096</x:v>
      </x:c>
      <x:c r="U47" s="15" t="n">
        <x:f>Raw_SRC_V16C_Repeats!J32</x:f>
        <x:v>4000</x:v>
      </x:c>
      <x:c r="V47" s="15" t="n">
        <x:f>Raw_SRC_V16C_Repeats!K32</x:f>
        <x:v>32</x:v>
      </x:c>
      <x:c r="W47" s="16" t="n">
        <x:f>Raw_SRC_V16C_Repeats!L32</x:f>
        <x:v>0.9</x:v>
      </x:c>
      <x:c r="X47" s="15" t="str">
        <x:f>Raw_SRC_V16C_Repeats!M32</x:f>
        <x:v>(0.01, 0.1, 1.0)</x:v>
      </x:c>
      <x:c r="Y47" s="16" t="n">
        <x:f>Raw_SRC_V16C_Repeats!N32</x:f>
        <x:v>0.2</x:v>
      </x:c>
      <x:c r="Z47" s="15" t="str">
        <x:f>Raw_SRC_V16C_Repeats!O32</x:f>
        <x:v>full</x:v>
      </x:c>
      <x:c r="AA47" s="15" t="str">
        <x:f>Raw_SRC_V16C_Repeats!P32</x:f>
        <x:v>grid_selected_by_val_only_no_test</x:v>
      </x:c>
      <x:c r="AB47" s="15" t="str">
        <x:f>Raw_SRC_V16C_Repeats!R32</x:f>
        <x:v>src_v16c_final_6datasets_repeat_rows.csv</x:v>
      </x:c>
      <x:c r="AC47" s="15" t="n">
        <x:f>Raw_SRC_V16C_Repeats!S32</x:f>
        <x:v>12</x:v>
      </x:c>
    </x:row>
    <x:row r="48" ht="22" customHeight="1">
      <x:c r="A48" s="15" t="str">
        <x:f>Raw_SRC_V16C_Repeats!A33</x:f>
        <x:v>cornell</x:v>
      </x:c>
      <x:c r="B48" s="15" t="str">
        <x:f>"SRC-v16c repeat "&amp;Raw_SRC_V16C_Repeats!B33</x:f>
        <x:v>SRC-v16c repeat 1</x:v>
      </x:c>
      <x:c r="C48" s="15" t="s">
        <x:v>2</x:v>
      </x:c>
      <x:c r="D48" s="15"/>
      <x:c r="E48" s="16"/>
      <x:c r="F48" s="16"/>
      <x:c r="G48" s="16"/>
      <x:c r="H48" s="16"/>
      <x:c r="I48" s="16"/>
      <x:c r="J48" s="16"/>
      <x:c r="K48" s="16"/>
      <x:c r="L48" s="15" t="n">
        <x:f>Raw_SRC_V16C_Repeats!B33</x:f>
        <x:v>1</x:v>
      </x:c>
      <x:c r="M48" s="15" t="n">
        <x:f>Raw_SRC_V16C_Repeats!C33</x:f>
        <x:v>20260420</x:v>
      </x:c>
      <x:c r="N48" s="15" t="n">
        <x:f>Raw_SRC_V16C_Repeats!D33</x:f>
        <x:v>0</x:v>
      </x:c>
      <x:c r="O48" s="15" t="str">
        <x:f>Raw_SRC_V16C_Repeats!E33</x:f>
        <x:v>random_stratified_matching_fixed_split0_class_counts</x:v>
      </x:c>
      <x:c r="P48" s="16" t="n">
        <x:f>Raw_SRC_V16C_Repeats!F33*100</x:f>
        <x:v>100</x:v>
      </x:c>
      <x:c r="Q48" s="16" t="n">
        <x:f>Raw_SRC_V16C_Repeats!G33*100</x:f>
        <x:v>79.6610169491525</x:v>
      </x:c>
      <x:c r="R48" s="16" t="n">
        <x:f>Raw_SRC_V16C_Repeats!H33*100</x:f>
        <x:v>62.162162162162204</x:v>
      </x:c>
      <x:c r="S48" s="17" t="n">
        <x:f>Raw_SRC_V16C_Repeats!H33</x:f>
        <x:v>0.621621621621622</x:v>
      </x:c>
      <x:c r="T48" s="16" t="n">
        <x:f>Raw_SRC_V16C_Repeats!I33*100</x:f>
        <x:v>69.1726015919564</x:v>
      </x:c>
      <x:c r="U48" s="15" t="n">
        <x:f>Raw_SRC_V16C_Repeats!J33</x:f>
        <x:v>4000</x:v>
      </x:c>
      <x:c r="V48" s="15" t="n">
        <x:f>Raw_SRC_V16C_Repeats!K33</x:f>
        <x:v>32</x:v>
      </x:c>
      <x:c r="W48" s="16" t="n">
        <x:f>Raw_SRC_V16C_Repeats!L33</x:f>
        <x:v>0.9</x:v>
      </x:c>
      <x:c r="X48" s="15" t="str">
        <x:f>Raw_SRC_V16C_Repeats!M33</x:f>
        <x:v>(0.01, 0.1, 1.0)</x:v>
      </x:c>
      <x:c r="Y48" s="16" t="n">
        <x:f>Raw_SRC_V16C_Repeats!N33</x:f>
        <x:v>0.2</x:v>
      </x:c>
      <x:c r="Z48" s="15" t="str">
        <x:f>Raw_SRC_V16C_Repeats!O33</x:f>
        <x:v>full</x:v>
      </x:c>
      <x:c r="AA48" s="15" t="str">
        <x:f>Raw_SRC_V16C_Repeats!P33</x:f>
        <x:v>grid_selected_by_val_only_no_test</x:v>
      </x:c>
      <x:c r="AB48" s="15" t="str">
        <x:f>Raw_SRC_V16C_Repeats!R33</x:f>
        <x:v>src_v16c_final_6datasets_repeat_rows.csv</x:v>
      </x:c>
      <x:c r="AC48" s="15" t="n">
        <x:f>Raw_SRC_V16C_Repeats!S33</x:f>
        <x:v>13</x:v>
      </x:c>
    </x:row>
    <x:row r="49" ht="22" customHeight="1">
      <x:c r="A49" s="15" t="str">
        <x:f>Raw_SRC_V16C_Repeats!A34</x:f>
        <x:v>cornell</x:v>
      </x:c>
      <x:c r="B49" s="15" t="str">
        <x:f>"SRC-v16c repeat "&amp;Raw_SRC_V16C_Repeats!B34</x:f>
        <x:v>SRC-v16c repeat 2</x:v>
      </x:c>
      <x:c r="C49" s="15" t="s">
        <x:v>2</x:v>
      </x:c>
      <x:c r="D49" s="15"/>
      <x:c r="E49" s="16"/>
      <x:c r="F49" s="16"/>
      <x:c r="G49" s="16"/>
      <x:c r="H49" s="16"/>
      <x:c r="I49" s="16"/>
      <x:c r="J49" s="16"/>
      <x:c r="K49" s="16"/>
      <x:c r="L49" s="15" t="n">
        <x:f>Raw_SRC_V16C_Repeats!B34</x:f>
        <x:v>2</x:v>
      </x:c>
      <x:c r="M49" s="15" t="n">
        <x:f>Raw_SRC_V16C_Repeats!C34</x:f>
        <x:v>20260421</x:v>
      </x:c>
      <x:c r="N49" s="15" t="n">
        <x:f>Raw_SRC_V16C_Repeats!D34</x:f>
        <x:v>0</x:v>
      </x:c>
      <x:c r="O49" s="15" t="str">
        <x:f>Raw_SRC_V16C_Repeats!E34</x:f>
        <x:v>random_stratified_matching_fixed_split0_class_counts</x:v>
      </x:c>
      <x:c r="P49" s="16" t="n">
        <x:f>Raw_SRC_V16C_Repeats!F34*100</x:f>
        <x:v>100</x:v>
      </x:c>
      <x:c r="Q49" s="16" t="n">
        <x:f>Raw_SRC_V16C_Repeats!G34*100</x:f>
        <x:v>77.9661016949153</x:v>
      </x:c>
      <x:c r="R49" s="16" t="n">
        <x:f>Raw_SRC_V16C_Repeats!H34*100</x:f>
        <x:v>81.0810810810811</x:v>
      </x:c>
      <x:c r="S49" s="17" t="n">
        <x:f>Raw_SRC_V16C_Repeats!H34</x:f>
        <x:v>0.810810810810811</x:v>
      </x:c>
      <x:c r="T49" s="16" t="n">
        <x:f>Raw_SRC_V16C_Repeats!I34*100</x:f>
        <x:v>58.1336405529954</x:v>
      </x:c>
      <x:c r="U49" s="15" t="n">
        <x:f>Raw_SRC_V16C_Repeats!J34</x:f>
        <x:v>4000</x:v>
      </x:c>
      <x:c r="V49" s="15" t="n">
        <x:f>Raw_SRC_V16C_Repeats!K34</x:f>
        <x:v>32</x:v>
      </x:c>
      <x:c r="W49" s="16" t="n">
        <x:f>Raw_SRC_V16C_Repeats!L34</x:f>
        <x:v>0.9</x:v>
      </x:c>
      <x:c r="X49" s="15" t="str">
        <x:f>Raw_SRC_V16C_Repeats!M34</x:f>
        <x:v>(0.05, 0.5, 5.0)</x:v>
      </x:c>
      <x:c r="Y49" s="16" t="n">
        <x:f>Raw_SRC_V16C_Repeats!N34</x:f>
        <x:v>0.2</x:v>
      </x:c>
      <x:c r="Z49" s="15" t="str">
        <x:f>Raw_SRC_V16C_Repeats!O34</x:f>
        <x:v>full</x:v>
      </x:c>
      <x:c r="AA49" s="15" t="str">
        <x:f>Raw_SRC_V16C_Repeats!P34</x:f>
        <x:v>grid_selected_by_val_only_no_test</x:v>
      </x:c>
      <x:c r="AB49" s="15" t="str">
        <x:f>Raw_SRC_V16C_Repeats!R34</x:f>
        <x:v>src_v16c_final_6datasets_repeat_rows.csv</x:v>
      </x:c>
      <x:c r="AC49" s="15" t="n">
        <x:f>Raw_SRC_V16C_Repeats!S34</x:f>
        <x:v>14</x:v>
      </x:c>
    </x:row>
    <x:row r="50" ht="22" customHeight="1">
      <x:c r="A50" s="15" t="str">
        <x:f>Raw_SRC_V16C_Repeats!A35</x:f>
        <x:v>cornell</x:v>
      </x:c>
      <x:c r="B50" s="15" t="str">
        <x:f>"SRC-v16c repeat "&amp;Raw_SRC_V16C_Repeats!B35</x:f>
        <x:v>SRC-v16c repeat 3</x:v>
      </x:c>
      <x:c r="C50" s="15" t="s">
        <x:v>2</x:v>
      </x:c>
      <x:c r="D50" s="15"/>
      <x:c r="E50" s="16"/>
      <x:c r="F50" s="16"/>
      <x:c r="G50" s="16"/>
      <x:c r="H50" s="16"/>
      <x:c r="I50" s="16"/>
      <x:c r="J50" s="16"/>
      <x:c r="K50" s="16"/>
      <x:c r="L50" s="15" t="n">
        <x:f>Raw_SRC_V16C_Repeats!B35</x:f>
        <x:v>3</x:v>
      </x:c>
      <x:c r="M50" s="15" t="n">
        <x:f>Raw_SRC_V16C_Repeats!C35</x:f>
        <x:v>20260422</x:v>
      </x:c>
      <x:c r="N50" s="15" t="n">
        <x:f>Raw_SRC_V16C_Repeats!D35</x:f>
        <x:v>0</x:v>
      </x:c>
      <x:c r="O50" s="15" t="str">
        <x:f>Raw_SRC_V16C_Repeats!E35</x:f>
        <x:v>random_stratified_matching_fixed_split0_class_counts</x:v>
      </x:c>
      <x:c r="P50" s="16" t="n">
        <x:f>Raw_SRC_V16C_Repeats!F35*100</x:f>
        <x:v>100</x:v>
      </x:c>
      <x:c r="Q50" s="16" t="n">
        <x:f>Raw_SRC_V16C_Repeats!G35*100</x:f>
        <x:v>84.7457627118644</x:v>
      </x:c>
      <x:c r="R50" s="16" t="n">
        <x:f>Raw_SRC_V16C_Repeats!H35*100</x:f>
        <x:v>75.6756756756757</x:v>
      </x:c>
      <x:c r="S50" s="17" t="n">
        <x:f>Raw_SRC_V16C_Repeats!H35</x:f>
        <x:v>0.756756756756757</x:v>
      </x:c>
      <x:c r="T50" s="16" t="n">
        <x:f>Raw_SRC_V16C_Repeats!I35*100</x:f>
        <x:v>61.3961038961039</x:v>
      </x:c>
      <x:c r="U50" s="15" t="n">
        <x:f>Raw_SRC_V16C_Repeats!J35</x:f>
        <x:v>4000</x:v>
      </x:c>
      <x:c r="V50" s="15" t="n">
        <x:f>Raw_SRC_V16C_Repeats!K35</x:f>
        <x:v>32</x:v>
      </x:c>
      <x:c r="W50" s="16" t="n">
        <x:f>Raw_SRC_V16C_Repeats!L35</x:f>
        <x:v>0.9</x:v>
      </x:c>
      <x:c r="X50" s="15" t="str">
        <x:f>Raw_SRC_V16C_Repeats!M35</x:f>
        <x:v>(0.05, 0.5, 5.0)</x:v>
      </x:c>
      <x:c r="Y50" s="16" t="n">
        <x:f>Raw_SRC_V16C_Repeats!N35</x:f>
        <x:v>0.2</x:v>
      </x:c>
      <x:c r="Z50" s="15" t="str">
        <x:f>Raw_SRC_V16C_Repeats!O35</x:f>
        <x:v>full</x:v>
      </x:c>
      <x:c r="AA50" s="15" t="str">
        <x:f>Raw_SRC_V16C_Repeats!P35</x:f>
        <x:v>grid_selected_by_val_only_no_test</x:v>
      </x:c>
      <x:c r="AB50" s="15" t="str">
        <x:f>Raw_SRC_V16C_Repeats!R35</x:f>
        <x:v>src_v16c_final_6datasets_repeat_rows.csv</x:v>
      </x:c>
      <x:c r="AC50" s="15" t="n">
        <x:f>Raw_SRC_V16C_Repeats!S35</x:f>
        <x:v>15</x:v>
      </x:c>
    </x:row>
    <x:row r="51" ht="22" customHeight="1">
      <x:c r="A51" s="15" t="str">
        <x:f>Raw_SRC_V16C_Repeats!A36</x:f>
        <x:v>cornell</x:v>
      </x:c>
      <x:c r="B51" s="15" t="str">
        <x:f>"SRC-v16c repeat "&amp;Raw_SRC_V16C_Repeats!B36</x:f>
        <x:v>SRC-v16c repeat 4</x:v>
      </x:c>
      <x:c r="C51" s="15" t="s">
        <x:v>2</x:v>
      </x:c>
      <x:c r="D51" s="15"/>
      <x:c r="E51" s="16"/>
      <x:c r="F51" s="16"/>
      <x:c r="G51" s="16"/>
      <x:c r="H51" s="16"/>
      <x:c r="I51" s="16"/>
      <x:c r="J51" s="16"/>
      <x:c r="K51" s="16"/>
      <x:c r="L51" s="15" t="n">
        <x:f>Raw_SRC_V16C_Repeats!B36</x:f>
        <x:v>4</x:v>
      </x:c>
      <x:c r="M51" s="15" t="n">
        <x:f>Raw_SRC_V16C_Repeats!C36</x:f>
        <x:v>20260423</x:v>
      </x:c>
      <x:c r="N51" s="15" t="n">
        <x:f>Raw_SRC_V16C_Repeats!D36</x:f>
        <x:v>0</x:v>
      </x:c>
      <x:c r="O51" s="15" t="str">
        <x:f>Raw_SRC_V16C_Repeats!E36</x:f>
        <x:v>random_stratified_matching_fixed_split0_class_counts</x:v>
      </x:c>
      <x:c r="P51" s="16" t="n">
        <x:f>Raw_SRC_V16C_Repeats!F36*100</x:f>
        <x:v>100</x:v>
      </x:c>
      <x:c r="Q51" s="16" t="n">
        <x:f>Raw_SRC_V16C_Repeats!G36*100</x:f>
        <x:v>79.6610169491525</x:v>
      </x:c>
      <x:c r="R51" s="16" t="n">
        <x:f>Raw_SRC_V16C_Repeats!H36*100</x:f>
        <x:v>78.3783783783784</x:v>
      </x:c>
      <x:c r="S51" s="17" t="n">
        <x:f>Raw_SRC_V16C_Repeats!H36</x:f>
        <x:v>0.783783783783784</x:v>
      </x:c>
      <x:c r="T51" s="16" t="n">
        <x:f>Raw_SRC_V16C_Repeats!I36*100</x:f>
        <x:v>57.11457896941769</x:v>
      </x:c>
      <x:c r="U51" s="15" t="n">
        <x:f>Raw_SRC_V16C_Repeats!J36</x:f>
        <x:v>4000</x:v>
      </x:c>
      <x:c r="V51" s="15" t="n">
        <x:f>Raw_SRC_V16C_Repeats!K36</x:f>
        <x:v>32</x:v>
      </x:c>
      <x:c r="W51" s="16" t="n">
        <x:f>Raw_SRC_V16C_Repeats!L36</x:f>
        <x:v>0.9</x:v>
      </x:c>
      <x:c r="X51" s="15" t="str">
        <x:f>Raw_SRC_V16C_Repeats!M36</x:f>
        <x:v>(0.01, 0.1, 1.0)</x:v>
      </x:c>
      <x:c r="Y51" s="16" t="n">
        <x:f>Raw_SRC_V16C_Repeats!N36</x:f>
        <x:v>0.2</x:v>
      </x:c>
      <x:c r="Z51" s="15" t="str">
        <x:f>Raw_SRC_V16C_Repeats!O36</x:f>
        <x:v>full</x:v>
      </x:c>
      <x:c r="AA51" s="15" t="str">
        <x:f>Raw_SRC_V16C_Repeats!P36</x:f>
        <x:v>grid_selected_by_val_only_no_test</x:v>
      </x:c>
      <x:c r="AB51" s="15" t="str">
        <x:f>Raw_SRC_V16C_Repeats!R36</x:f>
        <x:v>src_v16c_final_6datasets_repeat_rows.csv</x:v>
      </x:c>
      <x:c r="AC51" s="15" t="n">
        <x:f>Raw_SRC_V16C_Repeats!S36</x:f>
        <x:v>16</x:v>
      </x:c>
    </x:row>
    <x:row r="52" ht="22" customHeight="1">
      <x:c r="A52" s="15" t="str">
        <x:f>Raw_SRC_V16C_Repeats!A37</x:f>
        <x:v>cornell</x:v>
      </x:c>
      <x:c r="B52" s="15" t="str">
        <x:f>"SRC-v16c repeat "&amp;Raw_SRC_V16C_Repeats!B37</x:f>
        <x:v>SRC-v16c repeat 5</x:v>
      </x:c>
      <x:c r="C52" s="15" t="s">
        <x:v>2</x:v>
      </x:c>
      <x:c r="D52" s="15"/>
      <x:c r="E52" s="16"/>
      <x:c r="F52" s="16"/>
      <x:c r="G52" s="16"/>
      <x:c r="H52" s="16"/>
      <x:c r="I52" s="16"/>
      <x:c r="J52" s="16"/>
      <x:c r="K52" s="16"/>
      <x:c r="L52" s="15" t="n">
        <x:f>Raw_SRC_V16C_Repeats!B37</x:f>
        <x:v>5</x:v>
      </x:c>
      <x:c r="M52" s="15" t="n">
        <x:f>Raw_SRC_V16C_Repeats!C37</x:f>
        <x:v>20260424</x:v>
      </x:c>
      <x:c r="N52" s="15" t="n">
        <x:f>Raw_SRC_V16C_Repeats!D37</x:f>
        <x:v>0</x:v>
      </x:c>
      <x:c r="O52" s="15" t="str">
        <x:f>Raw_SRC_V16C_Repeats!E37</x:f>
        <x:v>random_stratified_matching_fixed_split0_class_counts</x:v>
      </x:c>
      <x:c r="P52" s="16" t="n">
        <x:f>Raw_SRC_V16C_Repeats!F37*100</x:f>
        <x:v>100</x:v>
      </x:c>
      <x:c r="Q52" s="16" t="n">
        <x:f>Raw_SRC_V16C_Repeats!G37*100</x:f>
        <x:v>76.271186440678</x:v>
      </x:c>
      <x:c r="R52" s="16" t="n">
        <x:f>Raw_SRC_V16C_Repeats!H37*100</x:f>
        <x:v>83.7837837837838</x:v>
      </x:c>
      <x:c r="S52" s="17" t="n">
        <x:f>Raw_SRC_V16C_Repeats!H37</x:f>
        <x:v>0.837837837837838</x:v>
      </x:c>
      <x:c r="T52" s="16" t="n">
        <x:f>Raw_SRC_V16C_Repeats!I37*100</x:f>
        <x:v>52.796397151235894</x:v>
      </x:c>
      <x:c r="U52" s="15" t="n">
        <x:f>Raw_SRC_V16C_Repeats!J37</x:f>
        <x:v>4000</x:v>
      </x:c>
      <x:c r="V52" s="15" t="n">
        <x:f>Raw_SRC_V16C_Repeats!K37</x:f>
        <x:v>32</x:v>
      </x:c>
      <x:c r="W52" s="16" t="n">
        <x:f>Raw_SRC_V16C_Repeats!L37</x:f>
        <x:v>0.9</x:v>
      </x:c>
      <x:c r="X52" s="15" t="str">
        <x:f>Raw_SRC_V16C_Repeats!M37</x:f>
        <x:v>(0.01, 0.1, 1.0)</x:v>
      </x:c>
      <x:c r="Y52" s="16" t="n">
        <x:f>Raw_SRC_V16C_Repeats!N37</x:f>
        <x:v>0.2</x:v>
      </x:c>
      <x:c r="Z52" s="15" t="str">
        <x:f>Raw_SRC_V16C_Repeats!O37</x:f>
        <x:v>full</x:v>
      </x:c>
      <x:c r="AA52" s="15" t="str">
        <x:f>Raw_SRC_V16C_Repeats!P37</x:f>
        <x:v>grid_selected_by_val_only_no_test</x:v>
      </x:c>
      <x:c r="AB52" s="15" t="str">
        <x:f>Raw_SRC_V16C_Repeats!R37</x:f>
        <x:v>src_v16c_final_6datasets_repeat_rows.csv</x:v>
      </x:c>
      <x:c r="AC52" s="15" t="n">
        <x:f>Raw_SRC_V16C_Repeats!S37</x:f>
        <x:v>17</x:v>
      </x:c>
    </x:row>
    <x:row r="53" ht="22" customHeight="1">
      <x:c r="A53" s="15" t="str">
        <x:f>Raw_SRC_V16C_Repeats!A38</x:f>
        <x:v>cornell</x:v>
      </x:c>
      <x:c r="B53" s="15" t="str">
        <x:f>"SRC-v16c repeat "&amp;Raw_SRC_V16C_Repeats!B38</x:f>
        <x:v>SRC-v16c repeat 6</x:v>
      </x:c>
      <x:c r="C53" s="15" t="s">
        <x:v>2</x:v>
      </x:c>
      <x:c r="D53" s="15"/>
      <x:c r="E53" s="16"/>
      <x:c r="F53" s="16"/>
      <x:c r="G53" s="16"/>
      <x:c r="H53" s="16"/>
      <x:c r="I53" s="16"/>
      <x:c r="J53" s="16"/>
      <x:c r="K53" s="16"/>
      <x:c r="L53" s="15" t="n">
        <x:f>Raw_SRC_V16C_Repeats!B38</x:f>
        <x:v>6</x:v>
      </x:c>
      <x:c r="M53" s="15" t="n">
        <x:f>Raw_SRC_V16C_Repeats!C38</x:f>
        <x:v>20260425</x:v>
      </x:c>
      <x:c r="N53" s="15" t="n">
        <x:f>Raw_SRC_V16C_Repeats!D38</x:f>
        <x:v>0</x:v>
      </x:c>
      <x:c r="O53" s="15" t="str">
        <x:f>Raw_SRC_V16C_Repeats!E38</x:f>
        <x:v>random_stratified_matching_fixed_split0_class_counts</x:v>
      </x:c>
      <x:c r="P53" s="16" t="n">
        <x:f>Raw_SRC_V16C_Repeats!F38*100</x:f>
        <x:v>100</x:v>
      </x:c>
      <x:c r="Q53" s="16" t="n">
        <x:f>Raw_SRC_V16C_Repeats!G38*100</x:f>
        <x:v>81.3559322033898</x:v>
      </x:c>
      <x:c r="R53" s="16" t="n">
        <x:f>Raw_SRC_V16C_Repeats!H38*100</x:f>
        <x:v>81.0810810810811</x:v>
      </x:c>
      <x:c r="S53" s="17" t="n">
        <x:f>Raw_SRC_V16C_Repeats!H38</x:f>
        <x:v>0.810810810810811</x:v>
      </x:c>
      <x:c r="T53" s="16" t="n">
        <x:f>Raw_SRC_V16C_Repeats!I38*100</x:f>
        <x:v>66.4327607875995</x:v>
      </x:c>
      <x:c r="U53" s="15" t="n">
        <x:f>Raw_SRC_V16C_Repeats!J38</x:f>
        <x:v>6000</x:v>
      </x:c>
      <x:c r="V53" s="15" t="n">
        <x:f>Raw_SRC_V16C_Repeats!K38</x:f>
        <x:v>32</x:v>
      </x:c>
      <x:c r="W53" s="16" t="n">
        <x:f>Raw_SRC_V16C_Repeats!L38</x:f>
        <x:v>0.9</x:v>
      </x:c>
      <x:c r="X53" s="15" t="str">
        <x:f>Raw_SRC_V16C_Repeats!M38</x:f>
        <x:v>(0.01, 0.1, 1.0)</x:v>
      </x:c>
      <x:c r="Y53" s="16" t="n">
        <x:f>Raw_SRC_V16C_Repeats!N38</x:f>
        <x:v>0.2</x:v>
      </x:c>
      <x:c r="Z53" s="15" t="str">
        <x:f>Raw_SRC_V16C_Repeats!O38</x:f>
        <x:v>full</x:v>
      </x:c>
      <x:c r="AA53" s="15" t="str">
        <x:f>Raw_SRC_V16C_Repeats!P38</x:f>
        <x:v>grid_selected_by_val_only_no_test</x:v>
      </x:c>
      <x:c r="AB53" s="15" t="str">
        <x:f>Raw_SRC_V16C_Repeats!R38</x:f>
        <x:v>src_v16c_final_6datasets_repeat_rows.csv</x:v>
      </x:c>
      <x:c r="AC53" s="15" t="n">
        <x:f>Raw_SRC_V16C_Repeats!S38</x:f>
        <x:v>18</x:v>
      </x:c>
    </x:row>
    <x:row r="54" ht="22" customHeight="1">
      <x:c r="A54" s="15" t="str">
        <x:f>Raw_SRC_V16C_Repeats!A39</x:f>
        <x:v>cornell</x:v>
      </x:c>
      <x:c r="B54" s="15" t="str">
        <x:f>"SRC-v16c repeat "&amp;Raw_SRC_V16C_Repeats!B39</x:f>
        <x:v>SRC-v16c repeat 7</x:v>
      </x:c>
      <x:c r="C54" s="15" t="s">
        <x:v>2</x:v>
      </x:c>
      <x:c r="D54" s="15"/>
      <x:c r="E54" s="16"/>
      <x:c r="F54" s="16"/>
      <x:c r="G54" s="16"/>
      <x:c r="H54" s="16"/>
      <x:c r="I54" s="16"/>
      <x:c r="J54" s="16"/>
      <x:c r="K54" s="16"/>
      <x:c r="L54" s="15" t="n">
        <x:f>Raw_SRC_V16C_Repeats!B39</x:f>
        <x:v>7</x:v>
      </x:c>
      <x:c r="M54" s="15" t="n">
        <x:f>Raw_SRC_V16C_Repeats!C39</x:f>
        <x:v>20260426</x:v>
      </x:c>
      <x:c r="N54" s="15" t="n">
        <x:f>Raw_SRC_V16C_Repeats!D39</x:f>
        <x:v>0</x:v>
      </x:c>
      <x:c r="O54" s="15" t="str">
        <x:f>Raw_SRC_V16C_Repeats!E39</x:f>
        <x:v>random_stratified_matching_fixed_split0_class_counts</x:v>
      </x:c>
      <x:c r="P54" s="16" t="n">
        <x:f>Raw_SRC_V16C_Repeats!F39*100</x:f>
        <x:v>100</x:v>
      </x:c>
      <x:c r="Q54" s="16" t="n">
        <x:f>Raw_SRC_V16C_Repeats!G39*100</x:f>
        <x:v>77.9661016949153</x:v>
      </x:c>
      <x:c r="R54" s="16" t="n">
        <x:f>Raw_SRC_V16C_Repeats!H39*100</x:f>
        <x:v>72.97297297297301</x:v>
      </x:c>
      <x:c r="S54" s="17" t="n">
        <x:f>Raw_SRC_V16C_Repeats!H39</x:f>
        <x:v>0.72972972972973</x:v>
      </x:c>
      <x:c r="T54" s="16" t="n">
        <x:f>Raw_SRC_V16C_Repeats!I39*100</x:f>
        <x:v>56.1447423544198</x:v>
      </x:c>
      <x:c r="U54" s="15" t="n">
        <x:f>Raw_SRC_V16C_Repeats!J39</x:f>
        <x:v>5000</x:v>
      </x:c>
      <x:c r="V54" s="15" t="n">
        <x:f>Raw_SRC_V16C_Repeats!K39</x:f>
        <x:v>32</x:v>
      </x:c>
      <x:c r="W54" s="16" t="n">
        <x:f>Raw_SRC_V16C_Repeats!L39</x:f>
        <x:v>0.9</x:v>
      </x:c>
      <x:c r="X54" s="15" t="str">
        <x:f>Raw_SRC_V16C_Repeats!M39</x:f>
        <x:v>(0.01, 0.1, 1.0)</x:v>
      </x:c>
      <x:c r="Y54" s="16" t="n">
        <x:f>Raw_SRC_V16C_Repeats!N39</x:f>
        <x:v>0.2</x:v>
      </x:c>
      <x:c r="Z54" s="15" t="str">
        <x:f>Raw_SRC_V16C_Repeats!O39</x:f>
        <x:v>full</x:v>
      </x:c>
      <x:c r="AA54" s="15" t="str">
        <x:f>Raw_SRC_V16C_Repeats!P39</x:f>
        <x:v>grid_selected_by_val_only_no_test</x:v>
      </x:c>
      <x:c r="AB54" s="15" t="str">
        <x:f>Raw_SRC_V16C_Repeats!R39</x:f>
        <x:v>src_v16c_final_6datasets_repeat_rows.csv</x:v>
      </x:c>
      <x:c r="AC54" s="15" t="n">
        <x:f>Raw_SRC_V16C_Repeats!S39</x:f>
        <x:v>19</x:v>
      </x:c>
    </x:row>
    <x:row r="55" ht="22" customHeight="1">
      <x:c r="A55" s="15" t="str">
        <x:f>Raw_SRC_V16C_Repeats!A40</x:f>
        <x:v>cornell</x:v>
      </x:c>
      <x:c r="B55" s="15" t="str">
        <x:f>"SRC-v16c repeat "&amp;Raw_SRC_V16C_Repeats!B40</x:f>
        <x:v>SRC-v16c repeat 8</x:v>
      </x:c>
      <x:c r="C55" s="15" t="s">
        <x:v>2</x:v>
      </x:c>
      <x:c r="D55" s="15"/>
      <x:c r="E55" s="16"/>
      <x:c r="F55" s="16"/>
      <x:c r="G55" s="16"/>
      <x:c r="H55" s="16"/>
      <x:c r="I55" s="16"/>
      <x:c r="J55" s="16"/>
      <x:c r="K55" s="16"/>
      <x:c r="L55" s="15" t="n">
        <x:f>Raw_SRC_V16C_Repeats!B40</x:f>
        <x:v>8</x:v>
      </x:c>
      <x:c r="M55" s="15" t="n">
        <x:f>Raw_SRC_V16C_Repeats!C40</x:f>
        <x:v>20260427</x:v>
      </x:c>
      <x:c r="N55" s="15" t="n">
        <x:f>Raw_SRC_V16C_Repeats!D40</x:f>
        <x:v>0</x:v>
      </x:c>
      <x:c r="O55" s="15" t="str">
        <x:f>Raw_SRC_V16C_Repeats!E40</x:f>
        <x:v>random_stratified_matching_fixed_split0_class_counts</x:v>
      </x:c>
      <x:c r="P55" s="16" t="n">
        <x:f>Raw_SRC_V16C_Repeats!F40*100</x:f>
        <x:v>100</x:v>
      </x:c>
      <x:c r="Q55" s="16" t="n">
        <x:f>Raw_SRC_V16C_Repeats!G40*100</x:f>
        <x:v>84.7457627118644</x:v>
      </x:c>
      <x:c r="R55" s="16" t="n">
        <x:f>Raw_SRC_V16C_Repeats!H40*100</x:f>
        <x:v>72.97297297297301</x:v>
      </x:c>
      <x:c r="S55" s="17" t="n">
        <x:f>Raw_SRC_V16C_Repeats!H40</x:f>
        <x:v>0.72972972972973</x:v>
      </x:c>
      <x:c r="T55" s="16" t="n">
        <x:f>Raw_SRC_V16C_Repeats!I40*100</x:f>
        <x:v>70.75094260578129</x:v>
      </x:c>
      <x:c r="U55" s="15" t="n">
        <x:f>Raw_SRC_V16C_Repeats!J40</x:f>
        <x:v>4000</x:v>
      </x:c>
      <x:c r="V55" s="15" t="n">
        <x:f>Raw_SRC_V16C_Repeats!K40</x:f>
        <x:v>32</x:v>
      </x:c>
      <x:c r="W55" s="16" t="n">
        <x:f>Raw_SRC_V16C_Repeats!L40</x:f>
        <x:v>0.9</x:v>
      </x:c>
      <x:c r="X55" s="15" t="str">
        <x:f>Raw_SRC_V16C_Repeats!M40</x:f>
        <x:v>(0.01, 0.1, 1.0)</x:v>
      </x:c>
      <x:c r="Y55" s="16" t="n">
        <x:f>Raw_SRC_V16C_Repeats!N40</x:f>
        <x:v>0.7</x:v>
      </x:c>
      <x:c r="Z55" s="15" t="str">
        <x:f>Raw_SRC_V16C_Repeats!O40</x:f>
        <x:v>full</x:v>
      </x:c>
      <x:c r="AA55" s="15" t="str">
        <x:f>Raw_SRC_V16C_Repeats!P40</x:f>
        <x:v>grid_selected_by_val_only_no_test</x:v>
      </x:c>
      <x:c r="AB55" s="15" t="str">
        <x:f>Raw_SRC_V16C_Repeats!R40</x:f>
        <x:v>src_v16c_final_6datasets_repeat_rows.csv</x:v>
      </x:c>
      <x:c r="AC55" s="15" t="n">
        <x:f>Raw_SRC_V16C_Repeats!S40</x:f>
        <x:v>20</x:v>
      </x:c>
    </x:row>
    <x:row r="56" ht="22" customHeight="1">
      <x:c r="A56" s="15" t="str">
        <x:f>Raw_SRC_V16C_Repeats!A41</x:f>
        <x:v>cornell</x:v>
      </x:c>
      <x:c r="B56" s="15" t="str">
        <x:f>"SRC-v16c repeat "&amp;Raw_SRC_V16C_Repeats!B41</x:f>
        <x:v>SRC-v16c repeat 9</x:v>
      </x:c>
      <x:c r="C56" s="15" t="s">
        <x:v>2</x:v>
      </x:c>
      <x:c r="D56" s="15"/>
      <x:c r="E56" s="16"/>
      <x:c r="F56" s="16"/>
      <x:c r="G56" s="16"/>
      <x:c r="H56" s="16"/>
      <x:c r="I56" s="16"/>
      <x:c r="J56" s="16"/>
      <x:c r="K56" s="16"/>
      <x:c r="L56" s="15" t="n">
        <x:f>Raw_SRC_V16C_Repeats!B41</x:f>
        <x:v>9</x:v>
      </x:c>
      <x:c r="M56" s="15" t="n">
        <x:f>Raw_SRC_V16C_Repeats!C41</x:f>
        <x:v>20260428</x:v>
      </x:c>
      <x:c r="N56" s="15" t="n">
        <x:f>Raw_SRC_V16C_Repeats!D41</x:f>
        <x:v>0</x:v>
      </x:c>
      <x:c r="O56" s="15" t="str">
        <x:f>Raw_SRC_V16C_Repeats!E41</x:f>
        <x:v>random_stratified_matching_fixed_split0_class_counts</x:v>
      </x:c>
      <x:c r="P56" s="16" t="n">
        <x:f>Raw_SRC_V16C_Repeats!F41*100</x:f>
        <x:v>98.8505747126437</x:v>
      </x:c>
      <x:c r="Q56" s="16" t="n">
        <x:f>Raw_SRC_V16C_Repeats!G41*100</x:f>
        <x:v>84.7457627118644</x:v>
      </x:c>
      <x:c r="R56" s="16" t="n">
        <x:f>Raw_SRC_V16C_Repeats!H41*100</x:f>
        <x:v>64.8648648648649</x:v>
      </x:c>
      <x:c r="S56" s="17" t="n">
        <x:f>Raw_SRC_V16C_Repeats!H41</x:f>
        <x:v>0.648648648648649</x:v>
      </x:c>
      <x:c r="T56" s="16" t="n">
        <x:f>Raw_SRC_V16C_Repeats!I41*100</x:f>
        <x:v>61.0714285714286</x:v>
      </x:c>
      <x:c r="U56" s="15" t="n">
        <x:f>Raw_SRC_V16C_Repeats!J41</x:f>
        <x:v>4000</x:v>
      </x:c>
      <x:c r="V56" s="15" t="n">
        <x:f>Raw_SRC_V16C_Repeats!K41</x:f>
        <x:v>32</x:v>
      </x:c>
      <x:c r="W56" s="16" t="n">
        <x:f>Raw_SRC_V16C_Repeats!L41</x:f>
        <x:v>0.9</x:v>
      </x:c>
      <x:c r="X56" s="15" t="str">
        <x:f>Raw_SRC_V16C_Repeats!M41</x:f>
        <x:v>(0.1, 1.0, 10.0)</x:v>
      </x:c>
      <x:c r="Y56" s="16" t="n">
        <x:f>Raw_SRC_V16C_Repeats!N41</x:f>
        <x:v>0.2</x:v>
      </x:c>
      <x:c r="Z56" s="15" t="str">
        <x:f>Raw_SRC_V16C_Repeats!O41</x:f>
        <x:v>full</x:v>
      </x:c>
      <x:c r="AA56" s="15" t="str">
        <x:f>Raw_SRC_V16C_Repeats!P41</x:f>
        <x:v>grid_selected_by_val_only_no_test</x:v>
      </x:c>
      <x:c r="AB56" s="15" t="str">
        <x:f>Raw_SRC_V16C_Repeats!R41</x:f>
        <x:v>src_v16c_final_6datasets_repeat_rows.csv</x:v>
      </x:c>
      <x:c r="AC56" s="15" t="n">
        <x:f>Raw_SRC_V16C_Repeats!S41</x:f>
        <x:v>21</x:v>
      </x:c>
    </x:row>
    <x:row r="57" ht="22" customHeight="1">
      <x:c r="A57" s="2"/>
      <x:c r="B57" s="2"/>
      <x:c r="C57" s="2"/>
      <x:c r="D57" s="2"/>
      <x:c r="E57" s="18"/>
      <x:c r="F57" s="18"/>
      <x:c r="G57" s="18"/>
      <x:c r="H57" s="18"/>
      <x:c r="I57" s="18"/>
      <x:c r="J57" s="18"/>
      <x:c r="K57" s="18"/>
      <x:c r="L57" s="2"/>
      <x:c r="M57" s="2"/>
      <x:c r="N57" s="2"/>
      <x:c r="O57" s="2"/>
      <x:c r="P57" s="18"/>
      <x:c r="Q57" s="18"/>
      <x:c r="R57" s="18"/>
      <x:c r="S57" s="19"/>
      <x:c r="T57" s="18"/>
      <x:c r="U57" s="2"/>
      <x:c r="V57" s="2"/>
      <x:c r="W57" s="18"/>
      <x:c r="X57" s="2"/>
      <x:c r="Y57" s="18"/>
      <x:c r="Z57" s="2"/>
      <x:c r="AA57" s="2"/>
      <x:c r="AB57" s="2"/>
      <x:c r="AC57" s="2"/>
    </x:row>
    <x:row r="58" ht="22" customHeight="1">
      <x:c r="A58" s="6" t="s">
        <x:v>109</x:v>
      </x:c>
    </x:row>
    <x:row r="59" ht="22" customHeight="1">
      <x:c r="A59" s="7" t="s">
        <x:v>55</x:v>
      </x:c>
      <x:c r="B59" s="7" t="s">
        <x:v>99</x:v>
      </x:c>
      <x:c r="C59" s="7" t="str">
        <x:v>GraphSAGE</x:v>
      </x:c>
      <x:c r="D59" s="8" t="n">
        <x:f>COUNT(Raw_Strongest_Baseline_Repeats!H42:H51)</x:f>
        <x:v>10</x:v>
      </x:c>
      <x:c r="E59" s="9" t="n">
        <x:f>AVERAGE(Raw_Strongest_Baseline_Repeats!F42:F51)*100</x:f>
        <x:v>98.73563230037689</x:v>
      </x:c>
      <x:c r="F59" s="9" t="n">
        <x:f>_xlfn.STDEV.S(Raw_Strongest_Baseline_Repeats!F42:F51)*100</x:f>
        <x:v>2.327408367427709</x:v>
      </x:c>
      <x:c r="G59" s="9" t="n">
        <x:f>AVERAGE(Raw_Strongest_Baseline_Repeats!G42:G51)*100</x:f>
        <x:v>83.72881352901459</x:v>
      </x:c>
      <x:c r="H59" s="9" t="n">
        <x:f>_xlfn.STDEV.S(Raw_Strongest_Baseline_Repeats!G42:G51)*100</x:f>
        <x:v>3.5010019013982028</x:v>
      </x:c>
      <x:c r="I59" s="9" t="n">
        <x:f>AVERAGE(Raw_Strongest_Baseline_Repeats!H42:H51)*100</x:f>
        <x:v>84.32432472705841</x:v>
      </x:c>
      <x:c r="J59" s="9" t="n">
        <x:f>_xlfn.STDEV.S(Raw_Strongest_Baseline_Repeats!H42:H51)*100</x:f>
        <x:v>4.732945965541856</x:v>
      </x:c>
      <x:c r="K59" s="9"/>
      <x:c r="L59" s="8"/>
      <x:c r="M59" s="8"/>
      <x:c r="N59" s="8"/>
      <x:c r="O59" s="8"/>
      <x:c r="P59" s="9"/>
      <x:c r="Q59" s="9"/>
      <x:c r="R59" s="9"/>
      <x:c r="S59" s="10"/>
      <x:c r="T59" s="9"/>
      <x:c r="U59" s="8"/>
      <x:c r="V59" s="8"/>
      <x:c r="W59" s="9"/>
      <x:c r="X59" s="8"/>
      <x:c r="Y59" s="9"/>
      <x:c r="Z59" s="8"/>
      <x:c r="AA59" s="8"/>
      <x:c r="AB59" s="8" t="str">
        <x:v>strongest_baseline_repeats_merged.csv</x:v>
      </x:c>
      <x:c r="AC59" s="8" t="str">
        <x:v>rows 42-51 in Raw_Strongest_Baseline_Repeats</x:v>
      </x:c>
    </x:row>
    <x:row r="60" ht="22" customHeight="1">
      <x:c r="A60" s="11" t="s">
        <x:v>55</x:v>
      </x:c>
      <x:c r="B60" s="11" t="s">
        <x:v>100</x:v>
      </x:c>
      <x:c r="C60" s="11" t="s">
        <x:v>2</x:v>
      </x:c>
      <x:c r="D60" s="12" t="n">
        <x:f>COUNT(Raw_SRC_V16C_Repeats!H42:H51)</x:f>
        <x:v>10</x:v>
      </x:c>
      <x:c r="E60" s="13" t="n">
        <x:f>AVERAGE(Raw_SRC_V16C_Repeats!F42:F51)*100</x:f>
        <x:v>100</x:v>
      </x:c>
      <x:c r="F60" s="13" t="n">
        <x:f>_xlfn.STDEV.S(Raw_SRC_V16C_Repeats!F42:F51)*100</x:f>
        <x:v>0</x:v>
      </x:c>
      <x:c r="G60" s="13" t="n">
        <x:f>AVERAGE(Raw_SRC_V16C_Repeats!G42:G51)*100</x:f>
        <x:v>87.75862068965516</x:v>
      </x:c>
      <x:c r="H60" s="13" t="n">
        <x:f>_xlfn.STDEV.S(Raw_SRC_V16C_Repeats!G42:G51)*100</x:f>
        <x:v>2.4985132321016392</x:v>
      </x:c>
      <x:c r="I60" s="13" t="n">
        <x:f>AVERAGE(Raw_SRC_V16C_Repeats!H42:H51)*100</x:f>
        <x:v>86.31578947368419</x:v>
      </x:c>
      <x:c r="J60" s="13" t="n">
        <x:f>_xlfn.STDEV.S(Raw_SRC_V16C_Repeats!H42:H51)*100</x:f>
        <x:v>4.0768245749551655</x:v>
      </x:c>
      <x:c r="K60" s="13" t="n">
        <x:f>I60-I59</x:f>
        <x:v>1.9914647466257804</x:v>
      </x:c>
      <x:c r="L60" s="12"/>
      <x:c r="M60" s="12"/>
      <x:c r="N60" s="12"/>
      <x:c r="O60" s="12"/>
      <x:c r="P60" s="13"/>
      <x:c r="Q60" s="13"/>
      <x:c r="R60" s="13"/>
      <x:c r="S60" s="14"/>
      <x:c r="T60" s="13"/>
      <x:c r="U60" s="12"/>
      <x:c r="V60" s="12"/>
      <x:c r="W60" s="13"/>
      <x:c r="X60" s="12"/>
      <x:c r="Y60" s="13"/>
      <x:c r="Z60" s="12"/>
      <x:c r="AA60" s="12"/>
      <x:c r="AB60" s="12" t="s">
        <x:v>101</x:v>
      </x:c>
      <x:c r="AC60" s="12" t="s">
        <x:v>110</x:v>
      </x:c>
    </x:row>
    <x:row r="61" ht="22" customHeight="1">
      <x:c r="A61" s="15" t="str">
        <x:f>Raw_SRC_V16C_Repeats!A42</x:f>
        <x:v>texas</x:v>
      </x:c>
      <x:c r="B61" s="15" t="str">
        <x:f>"SRC-v16c repeat "&amp;Raw_SRC_V16C_Repeats!B42</x:f>
        <x:v>SRC-v16c repeat 0</x:v>
      </x:c>
      <x:c r="C61" s="15" t="s">
        <x:v>2</x:v>
      </x:c>
      <x:c r="D61" s="15"/>
      <x:c r="E61" s="16"/>
      <x:c r="F61" s="16"/>
      <x:c r="G61" s="16"/>
      <x:c r="H61" s="16"/>
      <x:c r="I61" s="16"/>
      <x:c r="J61" s="16"/>
      <x:c r="K61" s="16"/>
      <x:c r="L61" s="15" t="n">
        <x:f>Raw_SRC_V16C_Repeats!B42</x:f>
        <x:v>0</x:v>
      </x:c>
      <x:c r="M61" s="15" t="n">
        <x:f>Raw_SRC_V16C_Repeats!C42</x:f>
        <x:v>20260419</x:v>
      </x:c>
      <x:c r="N61" s="15" t="n">
        <x:f>Raw_SRC_V16C_Repeats!D42</x:f>
        <x:v>0</x:v>
      </x:c>
      <x:c r="O61" s="15" t="str">
        <x:f>Raw_SRC_V16C_Repeats!E42</x:f>
        <x:v>random_stratified_matching_fixed_split0_class_counts</x:v>
      </x:c>
      <x:c r="P61" s="16" t="n">
        <x:f>Raw_SRC_V16C_Repeats!F42*100</x:f>
        <x:v>100</x:v>
      </x:c>
      <x:c r="Q61" s="16" t="n">
        <x:f>Raw_SRC_V16C_Repeats!G42*100</x:f>
        <x:v>86.2068965517241</x:v>
      </x:c>
      <x:c r="R61" s="16" t="n">
        <x:f>Raw_SRC_V16C_Repeats!H42*100</x:f>
        <x:v>86.8421052631579</x:v>
      </x:c>
      <x:c r="S61" s="17" t="n">
        <x:f>Raw_SRC_V16C_Repeats!H42</x:f>
        <x:v>0.868421052631579</x:v>
      </x:c>
      <x:c r="T61" s="16" t="n">
        <x:f>Raw_SRC_V16C_Repeats!I42*100</x:f>
        <x:v>75.52995391705069</x:v>
      </x:c>
      <x:c r="U61" s="15" t="n">
        <x:f>Raw_SRC_V16C_Repeats!J42</x:f>
        <x:v>4000</x:v>
      </x:c>
      <x:c r="V61" s="15" t="n">
        <x:f>Raw_SRC_V16C_Repeats!K42</x:f>
        <x:v>32</x:v>
      </x:c>
      <x:c r="W61" s="16" t="n">
        <x:f>Raw_SRC_V16C_Repeats!L42</x:f>
        <x:v>0.9</x:v>
      </x:c>
      <x:c r="X61" s="15" t="str">
        <x:f>Raw_SRC_V16C_Repeats!M42</x:f>
        <x:v>(0.01, 0.1, 1.0)</x:v>
      </x:c>
      <x:c r="Y61" s="16" t="n">
        <x:f>Raw_SRC_V16C_Repeats!N42</x:f>
        <x:v>0.2</x:v>
      </x:c>
      <x:c r="Z61" s="15" t="str">
        <x:f>Raw_SRC_V16C_Repeats!O42</x:f>
        <x:v>full</x:v>
      </x:c>
      <x:c r="AA61" s="15" t="str">
        <x:f>Raw_SRC_V16C_Repeats!P42</x:f>
        <x:v>grid_selected_by_val_only_no_test</x:v>
      </x:c>
      <x:c r="AB61" s="15" t="str">
        <x:f>Raw_SRC_V16C_Repeats!R42</x:f>
        <x:v>src_v16c_final_6datasets_repeat_rows.csv</x:v>
      </x:c>
      <x:c r="AC61" s="15" t="n">
        <x:f>Raw_SRC_V16C_Repeats!S42</x:f>
        <x:v>2</x:v>
      </x:c>
    </x:row>
    <x:row r="62" ht="22" customHeight="1">
      <x:c r="A62" s="15" t="str">
        <x:f>Raw_SRC_V16C_Repeats!A43</x:f>
        <x:v>texas</x:v>
      </x:c>
      <x:c r="B62" s="15" t="str">
        <x:f>"SRC-v16c repeat "&amp;Raw_SRC_V16C_Repeats!B43</x:f>
        <x:v>SRC-v16c repeat 1</x:v>
      </x:c>
      <x:c r="C62" s="15" t="s">
        <x:v>2</x:v>
      </x:c>
      <x:c r="D62" s="15"/>
      <x:c r="E62" s="16"/>
      <x:c r="F62" s="16"/>
      <x:c r="G62" s="16"/>
      <x:c r="H62" s="16"/>
      <x:c r="I62" s="16"/>
      <x:c r="J62" s="16"/>
      <x:c r="K62" s="16"/>
      <x:c r="L62" s="15" t="n">
        <x:f>Raw_SRC_V16C_Repeats!B43</x:f>
        <x:v>1</x:v>
      </x:c>
      <x:c r="M62" s="15" t="n">
        <x:f>Raw_SRC_V16C_Repeats!C43</x:f>
        <x:v>20260420</x:v>
      </x:c>
      <x:c r="N62" s="15" t="n">
        <x:f>Raw_SRC_V16C_Repeats!D43</x:f>
        <x:v>0</x:v>
      </x:c>
      <x:c r="O62" s="15" t="str">
        <x:f>Raw_SRC_V16C_Repeats!E43</x:f>
        <x:v>random_stratified_matching_fixed_split0_class_counts</x:v>
      </x:c>
      <x:c r="P62" s="16" t="n">
        <x:f>Raw_SRC_V16C_Repeats!F43*100</x:f>
        <x:v>100</x:v>
      </x:c>
      <x:c r="Q62" s="16" t="n">
        <x:f>Raw_SRC_V16C_Repeats!G43*100</x:f>
        <x:v>89.65517241379311</x:v>
      </x:c>
      <x:c r="R62" s="16" t="n">
        <x:f>Raw_SRC_V16C_Repeats!H43*100</x:f>
        <x:v>89.4736842105263</x:v>
      </x:c>
      <x:c r="S62" s="17" t="n">
        <x:f>Raw_SRC_V16C_Repeats!H43</x:f>
        <x:v>0.894736842105263</x:v>
      </x:c>
      <x:c r="T62" s="16" t="n">
        <x:f>Raw_SRC_V16C_Repeats!I43*100</x:f>
        <x:v>83.7173579109063</x:v>
      </x:c>
      <x:c r="U62" s="15" t="n">
        <x:f>Raw_SRC_V16C_Repeats!J43</x:f>
        <x:v>8000</x:v>
      </x:c>
      <x:c r="V62" s="15" t="n">
        <x:f>Raw_SRC_V16C_Repeats!K43</x:f>
        <x:v>32</x:v>
      </x:c>
      <x:c r="W62" s="16" t="n">
        <x:f>Raw_SRC_V16C_Repeats!L43</x:f>
        <x:v>0.9</x:v>
      </x:c>
      <x:c r="X62" s="15" t="str">
        <x:f>Raw_SRC_V16C_Repeats!M43</x:f>
        <x:v>(0.01, 0.1, 1.0)</x:v>
      </x:c>
      <x:c r="Y62" s="16" t="n">
        <x:f>Raw_SRC_V16C_Repeats!N43</x:f>
        <x:v>0.2</x:v>
      </x:c>
      <x:c r="Z62" s="15" t="str">
        <x:f>Raw_SRC_V16C_Repeats!O43</x:f>
        <x:v>full</x:v>
      </x:c>
      <x:c r="AA62" s="15" t="str">
        <x:f>Raw_SRC_V16C_Repeats!P43</x:f>
        <x:v>grid_selected_by_val_only_no_test</x:v>
      </x:c>
      <x:c r="AB62" s="15" t="str">
        <x:f>Raw_SRC_V16C_Repeats!R43</x:f>
        <x:v>src_v16c_final_6datasets_repeat_rows.csv</x:v>
      </x:c>
      <x:c r="AC62" s="15" t="n">
        <x:f>Raw_SRC_V16C_Repeats!S43</x:f>
        <x:v>3</x:v>
      </x:c>
    </x:row>
    <x:row r="63" ht="22" customHeight="1">
      <x:c r="A63" s="15" t="str">
        <x:f>Raw_SRC_V16C_Repeats!A44</x:f>
        <x:v>texas</x:v>
      </x:c>
      <x:c r="B63" s="15" t="str">
        <x:f>"SRC-v16c repeat "&amp;Raw_SRC_V16C_Repeats!B44</x:f>
        <x:v>SRC-v16c repeat 2</x:v>
      </x:c>
      <x:c r="C63" s="15" t="s">
        <x:v>2</x:v>
      </x:c>
      <x:c r="D63" s="15"/>
      <x:c r="E63" s="16"/>
      <x:c r="F63" s="16"/>
      <x:c r="G63" s="16"/>
      <x:c r="H63" s="16"/>
      <x:c r="I63" s="16"/>
      <x:c r="J63" s="16"/>
      <x:c r="K63" s="16"/>
      <x:c r="L63" s="15" t="n">
        <x:f>Raw_SRC_V16C_Repeats!B44</x:f>
        <x:v>2</x:v>
      </x:c>
      <x:c r="M63" s="15" t="n">
        <x:f>Raw_SRC_V16C_Repeats!C44</x:f>
        <x:v>20260421</x:v>
      </x:c>
      <x:c r="N63" s="15" t="n">
        <x:f>Raw_SRC_V16C_Repeats!D44</x:f>
        <x:v>0</x:v>
      </x:c>
      <x:c r="O63" s="15" t="str">
        <x:f>Raw_SRC_V16C_Repeats!E44</x:f>
        <x:v>random_stratified_matching_fixed_split0_class_counts</x:v>
      </x:c>
      <x:c r="P63" s="16" t="n">
        <x:f>Raw_SRC_V16C_Repeats!F44*100</x:f>
        <x:v>100</x:v>
      </x:c>
      <x:c r="Q63" s="16" t="n">
        <x:f>Raw_SRC_V16C_Repeats!G44*100</x:f>
        <x:v>84.48275862068971</x:v>
      </x:c>
      <x:c r="R63" s="16" t="n">
        <x:f>Raw_SRC_V16C_Repeats!H44*100</x:f>
        <x:v>78.9473684210526</x:v>
      </x:c>
      <x:c r="S63" s="17" t="n">
        <x:f>Raw_SRC_V16C_Repeats!H44</x:f>
        <x:v>0.789473684210526</x:v>
      </x:c>
      <x:c r="T63" s="16" t="n">
        <x:f>Raw_SRC_V16C_Repeats!I44*100</x:f>
        <x:v>74.431643625192</x:v>
      </x:c>
      <x:c r="U63" s="15" t="n">
        <x:f>Raw_SRC_V16C_Repeats!J44</x:f>
        <x:v>5000</x:v>
      </x:c>
      <x:c r="V63" s="15" t="n">
        <x:f>Raw_SRC_V16C_Repeats!K44</x:f>
        <x:v>32</x:v>
      </x:c>
      <x:c r="W63" s="16" t="n">
        <x:f>Raw_SRC_V16C_Repeats!L44</x:f>
        <x:v>0.9</x:v>
      </x:c>
      <x:c r="X63" s="15" t="str">
        <x:f>Raw_SRC_V16C_Repeats!M44</x:f>
        <x:v>(0.01, 0.1, 1.0)</x:v>
      </x:c>
      <x:c r="Y63" s="16" t="n">
        <x:f>Raw_SRC_V16C_Repeats!N44</x:f>
        <x:v>0.2</x:v>
      </x:c>
      <x:c r="Z63" s="15" t="str">
        <x:f>Raw_SRC_V16C_Repeats!O44</x:f>
        <x:v>full</x:v>
      </x:c>
      <x:c r="AA63" s="15" t="str">
        <x:f>Raw_SRC_V16C_Repeats!P44</x:f>
        <x:v>grid_selected_by_val_only_no_test</x:v>
      </x:c>
      <x:c r="AB63" s="15" t="str">
        <x:f>Raw_SRC_V16C_Repeats!R44</x:f>
        <x:v>src_v16c_final_6datasets_repeat_rows.csv</x:v>
      </x:c>
      <x:c r="AC63" s="15" t="n">
        <x:f>Raw_SRC_V16C_Repeats!S44</x:f>
        <x:v>4</x:v>
      </x:c>
    </x:row>
    <x:row r="64" ht="22" customHeight="1">
      <x:c r="A64" s="15" t="str">
        <x:f>Raw_SRC_V16C_Repeats!A45</x:f>
        <x:v>texas</x:v>
      </x:c>
      <x:c r="B64" s="15" t="str">
        <x:f>"SRC-v16c repeat "&amp;Raw_SRC_V16C_Repeats!B45</x:f>
        <x:v>SRC-v16c repeat 3</x:v>
      </x:c>
      <x:c r="C64" s="15" t="s">
        <x:v>2</x:v>
      </x:c>
      <x:c r="D64" s="15"/>
      <x:c r="E64" s="16"/>
      <x:c r="F64" s="16"/>
      <x:c r="G64" s="16"/>
      <x:c r="H64" s="16"/>
      <x:c r="I64" s="16"/>
      <x:c r="J64" s="16"/>
      <x:c r="K64" s="16"/>
      <x:c r="L64" s="15" t="n">
        <x:f>Raw_SRC_V16C_Repeats!B45</x:f>
        <x:v>3</x:v>
      </x:c>
      <x:c r="M64" s="15" t="n">
        <x:f>Raw_SRC_V16C_Repeats!C45</x:f>
        <x:v>20260422</x:v>
      </x:c>
      <x:c r="N64" s="15" t="n">
        <x:f>Raw_SRC_V16C_Repeats!D45</x:f>
        <x:v>0</x:v>
      </x:c>
      <x:c r="O64" s="15" t="str">
        <x:f>Raw_SRC_V16C_Repeats!E45</x:f>
        <x:v>random_stratified_matching_fixed_split0_class_counts</x:v>
      </x:c>
      <x:c r="P64" s="16" t="n">
        <x:f>Raw_SRC_V16C_Repeats!F45*100</x:f>
        <x:v>100</x:v>
      </x:c>
      <x:c r="Q64" s="16" t="n">
        <x:f>Raw_SRC_V16C_Repeats!G45*100</x:f>
        <x:v>91.3793103448276</x:v>
      </x:c>
      <x:c r="R64" s="16" t="n">
        <x:f>Raw_SRC_V16C_Repeats!H45*100</x:f>
        <x:v>86.8421052631579</x:v>
      </x:c>
      <x:c r="S64" s="17" t="n">
        <x:f>Raw_SRC_V16C_Repeats!H45</x:f>
        <x:v>0.868421052631579</x:v>
      </x:c>
      <x:c r="T64" s="16" t="n">
        <x:f>Raw_SRC_V16C_Repeats!I45*100</x:f>
        <x:v>84.5238095238095</x:v>
      </x:c>
      <x:c r="U64" s="15" t="n">
        <x:f>Raw_SRC_V16C_Repeats!J45</x:f>
        <x:v>4000</x:v>
      </x:c>
      <x:c r="V64" s="15" t="n">
        <x:f>Raw_SRC_V16C_Repeats!K45</x:f>
        <x:v>32</x:v>
      </x:c>
      <x:c r="W64" s="16" t="n">
        <x:f>Raw_SRC_V16C_Repeats!L45</x:f>
        <x:v>0.9</x:v>
      </x:c>
      <x:c r="X64" s="15" t="str">
        <x:f>Raw_SRC_V16C_Repeats!M45</x:f>
        <x:v>(0.01, 0.1, 1.0)</x:v>
      </x:c>
      <x:c r="Y64" s="16" t="n">
        <x:f>Raw_SRC_V16C_Repeats!N45</x:f>
        <x:v>0.2</x:v>
      </x:c>
      <x:c r="Z64" s="15" t="str">
        <x:f>Raw_SRC_V16C_Repeats!O45</x:f>
        <x:v>full</x:v>
      </x:c>
      <x:c r="AA64" s="15" t="str">
        <x:f>Raw_SRC_V16C_Repeats!P45</x:f>
        <x:v>grid_selected_by_val_only_no_test</x:v>
      </x:c>
      <x:c r="AB64" s="15" t="str">
        <x:f>Raw_SRC_V16C_Repeats!R45</x:f>
        <x:v>src_v16c_final_6datasets_repeat_rows.csv</x:v>
      </x:c>
      <x:c r="AC64" s="15" t="n">
        <x:f>Raw_SRC_V16C_Repeats!S45</x:f>
        <x:v>5</x:v>
      </x:c>
    </x:row>
    <x:row r="65" ht="22" customHeight="1">
      <x:c r="A65" s="15" t="str">
        <x:f>Raw_SRC_V16C_Repeats!A46</x:f>
        <x:v>texas</x:v>
      </x:c>
      <x:c r="B65" s="15" t="str">
        <x:f>"SRC-v16c repeat "&amp;Raw_SRC_V16C_Repeats!B46</x:f>
        <x:v>SRC-v16c repeat 4</x:v>
      </x:c>
      <x:c r="C65" s="15" t="s">
        <x:v>2</x:v>
      </x:c>
      <x:c r="D65" s="15"/>
      <x:c r="E65" s="16"/>
      <x:c r="F65" s="16"/>
      <x:c r="G65" s="16"/>
      <x:c r="H65" s="16"/>
      <x:c r="I65" s="16"/>
      <x:c r="J65" s="16"/>
      <x:c r="K65" s="16"/>
      <x:c r="L65" s="15" t="n">
        <x:f>Raw_SRC_V16C_Repeats!B46</x:f>
        <x:v>4</x:v>
      </x:c>
      <x:c r="M65" s="15" t="n">
        <x:f>Raw_SRC_V16C_Repeats!C46</x:f>
        <x:v>20260423</x:v>
      </x:c>
      <x:c r="N65" s="15" t="n">
        <x:f>Raw_SRC_V16C_Repeats!D46</x:f>
        <x:v>0</x:v>
      </x:c>
      <x:c r="O65" s="15" t="str">
        <x:f>Raw_SRC_V16C_Repeats!E46</x:f>
        <x:v>random_stratified_matching_fixed_split0_class_counts</x:v>
      </x:c>
      <x:c r="P65" s="16" t="n">
        <x:f>Raw_SRC_V16C_Repeats!F46*100</x:f>
        <x:v>100</x:v>
      </x:c>
      <x:c r="Q65" s="16" t="n">
        <x:f>Raw_SRC_V16C_Repeats!G46*100</x:f>
        <x:v>86.2068965517241</x:v>
      </x:c>
      <x:c r="R65" s="16" t="n">
        <x:f>Raw_SRC_V16C_Repeats!H46*100</x:f>
        <x:v>84.21052631578951</x:v>
      </x:c>
      <x:c r="S65" s="17" t="n">
        <x:f>Raw_SRC_V16C_Repeats!H46</x:f>
        <x:v>0.842105263157895</x:v>
      </x:c>
      <x:c r="T65" s="16" t="n">
        <x:f>Raw_SRC_V16C_Repeats!I46*100</x:f>
        <x:v>72.38095238095241</x:v>
      </x:c>
      <x:c r="U65" s="15" t="n">
        <x:f>Raw_SRC_V16C_Repeats!J46</x:f>
        <x:v>4000</x:v>
      </x:c>
      <x:c r="V65" s="15" t="n">
        <x:f>Raw_SRC_V16C_Repeats!K46</x:f>
        <x:v>32</x:v>
      </x:c>
      <x:c r="W65" s="16" t="n">
        <x:f>Raw_SRC_V16C_Repeats!L46</x:f>
        <x:v>0.9</x:v>
      </x:c>
      <x:c r="X65" s="15" t="str">
        <x:f>Raw_SRC_V16C_Repeats!M46</x:f>
        <x:v>(0.01, 0.1, 1.0)</x:v>
      </x:c>
      <x:c r="Y65" s="16" t="n">
        <x:f>Raw_SRC_V16C_Repeats!N46</x:f>
        <x:v>0.2</x:v>
      </x:c>
      <x:c r="Z65" s="15" t="str">
        <x:f>Raw_SRC_V16C_Repeats!O46</x:f>
        <x:v>full</x:v>
      </x:c>
      <x:c r="AA65" s="15" t="str">
        <x:f>Raw_SRC_V16C_Repeats!P46</x:f>
        <x:v>grid_selected_by_val_only_no_test</x:v>
      </x:c>
      <x:c r="AB65" s="15" t="str">
        <x:f>Raw_SRC_V16C_Repeats!R46</x:f>
        <x:v>src_v16c_final_6datasets_repeat_rows.csv</x:v>
      </x:c>
      <x:c r="AC65" s="15" t="n">
        <x:f>Raw_SRC_V16C_Repeats!S46</x:f>
        <x:v>6</x:v>
      </x:c>
    </x:row>
    <x:row r="66" ht="22" customHeight="1">
      <x:c r="A66" s="15" t="str">
        <x:f>Raw_SRC_V16C_Repeats!A47</x:f>
        <x:v>texas</x:v>
      </x:c>
      <x:c r="B66" s="15" t="str">
        <x:f>"SRC-v16c repeat "&amp;Raw_SRC_V16C_Repeats!B47</x:f>
        <x:v>SRC-v16c repeat 5</x:v>
      </x:c>
      <x:c r="C66" s="15" t="s">
        <x:v>2</x:v>
      </x:c>
      <x:c r="D66" s="15"/>
      <x:c r="E66" s="16"/>
      <x:c r="F66" s="16"/>
      <x:c r="G66" s="16"/>
      <x:c r="H66" s="16"/>
      <x:c r="I66" s="16"/>
      <x:c r="J66" s="16"/>
      <x:c r="K66" s="16"/>
      <x:c r="L66" s="15" t="n">
        <x:f>Raw_SRC_V16C_Repeats!B47</x:f>
        <x:v>5</x:v>
      </x:c>
      <x:c r="M66" s="15" t="n">
        <x:f>Raw_SRC_V16C_Repeats!C47</x:f>
        <x:v>20260424</x:v>
      </x:c>
      <x:c r="N66" s="15" t="n">
        <x:f>Raw_SRC_V16C_Repeats!D47</x:f>
        <x:v>0</x:v>
      </x:c>
      <x:c r="O66" s="15" t="str">
        <x:f>Raw_SRC_V16C_Repeats!E47</x:f>
        <x:v>random_stratified_matching_fixed_split0_class_counts</x:v>
      </x:c>
      <x:c r="P66" s="16" t="n">
        <x:f>Raw_SRC_V16C_Repeats!F47*100</x:f>
        <x:v>100</x:v>
      </x:c>
      <x:c r="Q66" s="16" t="n">
        <x:f>Raw_SRC_V16C_Repeats!G47*100</x:f>
        <x:v>86.2068965517241</x:v>
      </x:c>
      <x:c r="R66" s="16" t="n">
        <x:f>Raw_SRC_V16C_Repeats!H47*100</x:f>
        <x:v>81.5789473684211</x:v>
      </x:c>
      <x:c r="S66" s="17" t="n">
        <x:f>Raw_SRC_V16C_Repeats!H47</x:f>
        <x:v>0.815789473684211</x:v>
      </x:c>
      <x:c r="T66" s="16" t="n">
        <x:f>Raw_SRC_V16C_Repeats!I47*100</x:f>
        <x:v>75.1459293394777</x:v>
      </x:c>
      <x:c r="U66" s="15" t="n">
        <x:f>Raw_SRC_V16C_Repeats!J47</x:f>
        <x:v>4000</x:v>
      </x:c>
      <x:c r="V66" s="15" t="n">
        <x:f>Raw_SRC_V16C_Repeats!K47</x:f>
        <x:v>32</x:v>
      </x:c>
      <x:c r="W66" s="16" t="n">
        <x:f>Raw_SRC_V16C_Repeats!L47</x:f>
        <x:v>0.9</x:v>
      </x:c>
      <x:c r="X66" s="15" t="str">
        <x:f>Raw_SRC_V16C_Repeats!M47</x:f>
        <x:v>(0.05, 0.5, 5.0)</x:v>
      </x:c>
      <x:c r="Y66" s="16" t="n">
        <x:f>Raw_SRC_V16C_Repeats!N47</x:f>
        <x:v>0.2</x:v>
      </x:c>
      <x:c r="Z66" s="15" t="str">
        <x:f>Raw_SRC_V16C_Repeats!O47</x:f>
        <x:v>full</x:v>
      </x:c>
      <x:c r="AA66" s="15" t="str">
        <x:f>Raw_SRC_V16C_Repeats!P47</x:f>
        <x:v>grid_selected_by_val_only_no_test</x:v>
      </x:c>
      <x:c r="AB66" s="15" t="str">
        <x:f>Raw_SRC_V16C_Repeats!R47</x:f>
        <x:v>src_v16c_final_6datasets_repeat_rows.csv</x:v>
      </x:c>
      <x:c r="AC66" s="15" t="n">
        <x:f>Raw_SRC_V16C_Repeats!S47</x:f>
        <x:v>7</x:v>
      </x:c>
    </x:row>
    <x:row r="67" ht="22" customHeight="1">
      <x:c r="A67" s="15" t="str">
        <x:f>Raw_SRC_V16C_Repeats!A48</x:f>
        <x:v>texas</x:v>
      </x:c>
      <x:c r="B67" s="15" t="str">
        <x:f>"SRC-v16c repeat "&amp;Raw_SRC_V16C_Repeats!B48</x:f>
        <x:v>SRC-v16c repeat 6</x:v>
      </x:c>
      <x:c r="C67" s="15" t="s">
        <x:v>2</x:v>
      </x:c>
      <x:c r="D67" s="15"/>
      <x:c r="E67" s="16"/>
      <x:c r="F67" s="16"/>
      <x:c r="G67" s="16"/>
      <x:c r="H67" s="16"/>
      <x:c r="I67" s="16"/>
      <x:c r="J67" s="16"/>
      <x:c r="K67" s="16"/>
      <x:c r="L67" s="15" t="n">
        <x:f>Raw_SRC_V16C_Repeats!B48</x:f>
        <x:v>6</x:v>
      </x:c>
      <x:c r="M67" s="15" t="n">
        <x:f>Raw_SRC_V16C_Repeats!C48</x:f>
        <x:v>20260425</x:v>
      </x:c>
      <x:c r="N67" s="15" t="n">
        <x:f>Raw_SRC_V16C_Repeats!D48</x:f>
        <x:v>0</x:v>
      </x:c>
      <x:c r="O67" s="15" t="str">
        <x:f>Raw_SRC_V16C_Repeats!E48</x:f>
        <x:v>random_stratified_matching_fixed_split0_class_counts</x:v>
      </x:c>
      <x:c r="P67" s="16" t="n">
        <x:f>Raw_SRC_V16C_Repeats!F48*100</x:f>
        <x:v>100</x:v>
      </x:c>
      <x:c r="Q67" s="16" t="n">
        <x:f>Raw_SRC_V16C_Repeats!G48*100</x:f>
        <x:v>86.2068965517241</x:v>
      </x:c>
      <x:c r="R67" s="16" t="n">
        <x:f>Raw_SRC_V16C_Repeats!H48*100</x:f>
        <x:v>89.4736842105263</x:v>
      </x:c>
      <x:c r="S67" s="17" t="n">
        <x:f>Raw_SRC_V16C_Repeats!H48</x:f>
        <x:v>0.894736842105263</x:v>
      </x:c>
      <x:c r="T67" s="16" t="n">
        <x:f>Raw_SRC_V16C_Repeats!I48*100</x:f>
        <x:v>77.61904761904759</x:v>
      </x:c>
      <x:c r="U67" s="15" t="n">
        <x:f>Raw_SRC_V16C_Repeats!J48</x:f>
        <x:v>4000</x:v>
      </x:c>
      <x:c r="V67" s="15" t="n">
        <x:f>Raw_SRC_V16C_Repeats!K48</x:f>
        <x:v>32</x:v>
      </x:c>
      <x:c r="W67" s="16" t="n">
        <x:f>Raw_SRC_V16C_Repeats!L48</x:f>
        <x:v>0.95</x:v>
      </x:c>
      <x:c r="X67" s="15" t="str">
        <x:f>Raw_SRC_V16C_Repeats!M48</x:f>
        <x:v>(0.01, 0.1, 1.0)</x:v>
      </x:c>
      <x:c r="Y67" s="16" t="n">
        <x:f>Raw_SRC_V16C_Repeats!N48</x:f>
        <x:v>0.6</x:v>
      </x:c>
      <x:c r="Z67" s="15" t="str">
        <x:f>Raw_SRC_V16C_Repeats!O48</x:f>
        <x:v>full</x:v>
      </x:c>
      <x:c r="AA67" s="15" t="str">
        <x:f>Raw_SRC_V16C_Repeats!P48</x:f>
        <x:v>grid_selected_by_val_only_no_test</x:v>
      </x:c>
      <x:c r="AB67" s="15" t="str">
        <x:f>Raw_SRC_V16C_Repeats!R48</x:f>
        <x:v>src_v16c_final_6datasets_repeat_rows.csv</x:v>
      </x:c>
      <x:c r="AC67" s="15" t="n">
        <x:f>Raw_SRC_V16C_Repeats!S48</x:f>
        <x:v>8</x:v>
      </x:c>
    </x:row>
    <x:row r="68" ht="22" customHeight="1">
      <x:c r="A68" s="15" t="str">
        <x:f>Raw_SRC_V16C_Repeats!A49</x:f>
        <x:v>texas</x:v>
      </x:c>
      <x:c r="B68" s="15" t="str">
        <x:f>"SRC-v16c repeat "&amp;Raw_SRC_V16C_Repeats!B49</x:f>
        <x:v>SRC-v16c repeat 7</x:v>
      </x:c>
      <x:c r="C68" s="15" t="s">
        <x:v>2</x:v>
      </x:c>
      <x:c r="D68" s="15"/>
      <x:c r="E68" s="16"/>
      <x:c r="F68" s="16"/>
      <x:c r="G68" s="16"/>
      <x:c r="H68" s="16"/>
      <x:c r="I68" s="16"/>
      <x:c r="J68" s="16"/>
      <x:c r="K68" s="16"/>
      <x:c r="L68" s="15" t="n">
        <x:f>Raw_SRC_V16C_Repeats!B49</x:f>
        <x:v>7</x:v>
      </x:c>
      <x:c r="M68" s="15" t="n">
        <x:f>Raw_SRC_V16C_Repeats!C49</x:f>
        <x:v>20260426</x:v>
      </x:c>
      <x:c r="N68" s="15" t="n">
        <x:f>Raw_SRC_V16C_Repeats!D49</x:f>
        <x:v>0</x:v>
      </x:c>
      <x:c r="O68" s="15" t="str">
        <x:f>Raw_SRC_V16C_Repeats!E49</x:f>
        <x:v>random_stratified_matching_fixed_split0_class_counts</x:v>
      </x:c>
      <x:c r="P68" s="16" t="n">
        <x:f>Raw_SRC_V16C_Repeats!F49*100</x:f>
        <x:v>100</x:v>
      </x:c>
      <x:c r="Q68" s="16" t="n">
        <x:f>Raw_SRC_V16C_Repeats!G49*100</x:f>
        <x:v>89.65517241379311</x:v>
      </x:c>
      <x:c r="R68" s="16" t="n">
        <x:f>Raw_SRC_V16C_Repeats!H49*100</x:f>
        <x:v>84.21052631578951</x:v>
      </x:c>
      <x:c r="S68" s="17" t="n">
        <x:f>Raw_SRC_V16C_Repeats!H49</x:f>
        <x:v>0.842105263157895</x:v>
      </x:c>
      <x:c r="T68" s="16" t="n">
        <x:f>Raw_SRC_V16C_Repeats!I49*100</x:f>
        <x:v>82.3809523809524</x:v>
      </x:c>
      <x:c r="U68" s="15" t="n">
        <x:f>Raw_SRC_V16C_Repeats!J49</x:f>
        <x:v>5000</x:v>
      </x:c>
      <x:c r="V68" s="15" t="n">
        <x:f>Raw_SRC_V16C_Repeats!K49</x:f>
        <x:v>32</x:v>
      </x:c>
      <x:c r="W68" s="16" t="n">
        <x:f>Raw_SRC_V16C_Repeats!L49</x:f>
        <x:v>0.9</x:v>
      </x:c>
      <x:c r="X68" s="15" t="str">
        <x:f>Raw_SRC_V16C_Repeats!M49</x:f>
        <x:v>(0.01, 0.1, 1.0)</x:v>
      </x:c>
      <x:c r="Y68" s="16" t="n">
        <x:f>Raw_SRC_V16C_Repeats!N49</x:f>
        <x:v>0.2</x:v>
      </x:c>
      <x:c r="Z68" s="15" t="str">
        <x:f>Raw_SRC_V16C_Repeats!O49</x:f>
        <x:v>full</x:v>
      </x:c>
      <x:c r="AA68" s="15" t="str">
        <x:f>Raw_SRC_V16C_Repeats!P49</x:f>
        <x:v>grid_selected_by_val_only_no_test</x:v>
      </x:c>
      <x:c r="AB68" s="15" t="str">
        <x:f>Raw_SRC_V16C_Repeats!R49</x:f>
        <x:v>src_v16c_final_6datasets_repeat_rows.csv</x:v>
      </x:c>
      <x:c r="AC68" s="15" t="n">
        <x:f>Raw_SRC_V16C_Repeats!S49</x:f>
        <x:v>9</x:v>
      </x:c>
    </x:row>
    <x:row r="69" ht="22" customHeight="1">
      <x:c r="A69" s="15" t="str">
        <x:f>Raw_SRC_V16C_Repeats!A50</x:f>
        <x:v>texas</x:v>
      </x:c>
      <x:c r="B69" s="15" t="str">
        <x:f>"SRC-v16c repeat "&amp;Raw_SRC_V16C_Repeats!B50</x:f>
        <x:v>SRC-v16c repeat 8</x:v>
      </x:c>
      <x:c r="C69" s="15" t="s">
        <x:v>2</x:v>
      </x:c>
      <x:c r="D69" s="15"/>
      <x:c r="E69" s="16"/>
      <x:c r="F69" s="16"/>
      <x:c r="G69" s="16"/>
      <x:c r="H69" s="16"/>
      <x:c r="I69" s="16"/>
      <x:c r="J69" s="16"/>
      <x:c r="K69" s="16"/>
      <x:c r="L69" s="15" t="n">
        <x:f>Raw_SRC_V16C_Repeats!B50</x:f>
        <x:v>8</x:v>
      </x:c>
      <x:c r="M69" s="15" t="n">
        <x:f>Raw_SRC_V16C_Repeats!C50</x:f>
        <x:v>20260427</x:v>
      </x:c>
      <x:c r="N69" s="15" t="n">
        <x:f>Raw_SRC_V16C_Repeats!D50</x:f>
        <x:v>0</x:v>
      </x:c>
      <x:c r="O69" s="15" t="str">
        <x:f>Raw_SRC_V16C_Repeats!E50</x:f>
        <x:v>random_stratified_matching_fixed_split0_class_counts</x:v>
      </x:c>
      <x:c r="P69" s="16" t="n">
        <x:f>Raw_SRC_V16C_Repeats!F50*100</x:f>
        <x:v>100</x:v>
      </x:c>
      <x:c r="Q69" s="16" t="n">
        <x:f>Raw_SRC_V16C_Repeats!G50*100</x:f>
        <x:v>91.3793103448276</x:v>
      </x:c>
      <x:c r="R69" s="16" t="n">
        <x:f>Raw_SRC_V16C_Repeats!H50*100</x:f>
        <x:v>89.4736842105263</x:v>
      </x:c>
      <x:c r="S69" s="17" t="n">
        <x:f>Raw_SRC_V16C_Repeats!H50</x:f>
        <x:v>0.894736842105263</x:v>
      </x:c>
      <x:c r="T69" s="16" t="n">
        <x:f>Raw_SRC_V16C_Repeats!I50*100</x:f>
        <x:v>82.6190476190476</x:v>
      </x:c>
      <x:c r="U69" s="15" t="n">
        <x:f>Raw_SRC_V16C_Repeats!J50</x:f>
        <x:v>4000</x:v>
      </x:c>
      <x:c r="V69" s="15" t="n">
        <x:f>Raw_SRC_V16C_Repeats!K50</x:f>
        <x:v>32</x:v>
      </x:c>
      <x:c r="W69" s="16" t="n">
        <x:f>Raw_SRC_V16C_Repeats!L50</x:f>
        <x:v>0.9</x:v>
      </x:c>
      <x:c r="X69" s="15" t="str">
        <x:f>Raw_SRC_V16C_Repeats!M50</x:f>
        <x:v>(0.05, 0.5, 5.0)</x:v>
      </x:c>
      <x:c r="Y69" s="16" t="n">
        <x:f>Raw_SRC_V16C_Repeats!N50</x:f>
        <x:v>0.2</x:v>
      </x:c>
      <x:c r="Z69" s="15" t="str">
        <x:f>Raw_SRC_V16C_Repeats!O50</x:f>
        <x:v>full</x:v>
      </x:c>
      <x:c r="AA69" s="15" t="str">
        <x:f>Raw_SRC_V16C_Repeats!P50</x:f>
        <x:v>grid_selected_by_val_only_no_test</x:v>
      </x:c>
      <x:c r="AB69" s="15" t="str">
        <x:f>Raw_SRC_V16C_Repeats!R50</x:f>
        <x:v>src_v16c_final_6datasets_repeat_rows.csv</x:v>
      </x:c>
      <x:c r="AC69" s="15" t="n">
        <x:f>Raw_SRC_V16C_Repeats!S50</x:f>
        <x:v>10</x:v>
      </x:c>
    </x:row>
    <x:row r="70" ht="22" customHeight="1">
      <x:c r="A70" s="15" t="str">
        <x:f>Raw_SRC_V16C_Repeats!A51</x:f>
        <x:v>texas</x:v>
      </x:c>
      <x:c r="B70" s="15" t="str">
        <x:f>"SRC-v16c repeat "&amp;Raw_SRC_V16C_Repeats!B51</x:f>
        <x:v>SRC-v16c repeat 9</x:v>
      </x:c>
      <x:c r="C70" s="15" t="s">
        <x:v>2</x:v>
      </x:c>
      <x:c r="D70" s="15"/>
      <x:c r="E70" s="16"/>
      <x:c r="F70" s="16"/>
      <x:c r="G70" s="16"/>
      <x:c r="H70" s="16"/>
      <x:c r="I70" s="16"/>
      <x:c r="J70" s="16"/>
      <x:c r="K70" s="16"/>
      <x:c r="L70" s="15" t="n">
        <x:f>Raw_SRC_V16C_Repeats!B51</x:f>
        <x:v>9</x:v>
      </x:c>
      <x:c r="M70" s="15" t="n">
        <x:f>Raw_SRC_V16C_Repeats!C51</x:f>
        <x:v>20260428</x:v>
      </x:c>
      <x:c r="N70" s="15" t="n">
        <x:f>Raw_SRC_V16C_Repeats!D51</x:f>
        <x:v>0</x:v>
      </x:c>
      <x:c r="O70" s="15" t="str">
        <x:f>Raw_SRC_V16C_Repeats!E51</x:f>
        <x:v>random_stratified_matching_fixed_split0_class_counts</x:v>
      </x:c>
      <x:c r="P70" s="16" t="n">
        <x:f>Raw_SRC_V16C_Repeats!F51*100</x:f>
        <x:v>100</x:v>
      </x:c>
      <x:c r="Q70" s="16" t="n">
        <x:f>Raw_SRC_V16C_Repeats!G51*100</x:f>
        <x:v>86.2068965517241</x:v>
      </x:c>
      <x:c r="R70" s="16" t="n">
        <x:f>Raw_SRC_V16C_Repeats!H51*100</x:f>
        <x:v>92.1052631578947</x:v>
      </x:c>
      <x:c r="S70" s="17" t="n">
        <x:f>Raw_SRC_V16C_Repeats!H51</x:f>
        <x:v>0.921052631578947</x:v>
      </x:c>
      <x:c r="T70" s="16" t="n">
        <x:f>Raw_SRC_V16C_Repeats!I51*100</x:f>
        <x:v>76.5745007680491</x:v>
      </x:c>
      <x:c r="U70" s="15" t="n">
        <x:f>Raw_SRC_V16C_Repeats!J51</x:f>
        <x:v>4000</x:v>
      </x:c>
      <x:c r="V70" s="15" t="n">
        <x:f>Raw_SRC_V16C_Repeats!K51</x:f>
        <x:v>32</x:v>
      </x:c>
      <x:c r="W70" s="16" t="n">
        <x:f>Raw_SRC_V16C_Repeats!L51</x:f>
        <x:v>0.99</x:v>
      </x:c>
      <x:c r="X70" s="15" t="str">
        <x:f>Raw_SRC_V16C_Repeats!M51</x:f>
        <x:v>(0.01, 0.1, 1.0)</x:v>
      </x:c>
      <x:c r="Y70" s="16" t="n">
        <x:f>Raw_SRC_V16C_Repeats!N51</x:f>
        <x:v>0.2</x:v>
      </x:c>
      <x:c r="Z70" s="15" t="str">
        <x:f>Raw_SRC_V16C_Repeats!O51</x:f>
        <x:v>full</x:v>
      </x:c>
      <x:c r="AA70" s="15" t="str">
        <x:f>Raw_SRC_V16C_Repeats!P51</x:f>
        <x:v>grid_selected_by_val_only_no_test</x:v>
      </x:c>
      <x:c r="AB70" s="15" t="str">
        <x:f>Raw_SRC_V16C_Repeats!R51</x:f>
        <x:v>src_v16c_final_6datasets_repeat_rows.csv</x:v>
      </x:c>
      <x:c r="AC70" s="15" t="n">
        <x:f>Raw_SRC_V16C_Repeats!S51</x:f>
        <x:v>11</x:v>
      </x:c>
    </x:row>
    <x:row r="71" ht="22" customHeight="1">
      <x:c r="A71" s="2"/>
      <x:c r="B71" s="2"/>
      <x:c r="C71" s="2"/>
      <x:c r="D71" s="2"/>
      <x:c r="E71" s="18"/>
      <x:c r="F71" s="18"/>
      <x:c r="G71" s="18"/>
      <x:c r="H71" s="18"/>
      <x:c r="I71" s="18"/>
      <x:c r="J71" s="18"/>
      <x:c r="K71" s="18"/>
      <x:c r="L71" s="2"/>
      <x:c r="M71" s="2"/>
      <x:c r="N71" s="2"/>
      <x:c r="O71" s="2"/>
      <x:c r="P71" s="18"/>
      <x:c r="Q71" s="18"/>
      <x:c r="R71" s="18"/>
      <x:c r="S71" s="19"/>
      <x:c r="T71" s="18"/>
      <x:c r="U71" s="2"/>
      <x:c r="V71" s="2"/>
      <x:c r="W71" s="18"/>
      <x:c r="X71" s="2"/>
      <x:c r="Y71" s="18"/>
      <x:c r="Z71" s="2"/>
      <x:c r="AA71" s="2"/>
      <x:c r="AB71" s="2"/>
      <x:c r="AC71" s="2"/>
    </x:row>
    <x:row r="72" ht="22" customHeight="1">
      <x:c r="A72" s="6" t="s">
        <x:v>111</x:v>
      </x:c>
    </x:row>
    <x:row r="73" ht="22" customHeight="1">
      <x:c r="A73" s="7" t="s">
        <x:v>56</x:v>
      </x:c>
      <x:c r="B73" s="7" t="s">
        <x:v>99</x:v>
      </x:c>
      <x:c r="C73" s="7" t="str">
        <x:v>GraphSAGE</x:v>
      </x:c>
      <x:c r="D73" s="8" t="n">
        <x:f>COUNT(Raw_Strongest_Baseline_Repeats!H52:H61)</x:f>
        <x:v>10</x:v>
      </x:c>
      <x:c r="E73" s="9" t="n">
        <x:f>AVERAGE(Raw_Strongest_Baseline_Repeats!F52:F61)*100</x:f>
        <x:v>97.08333253860474</x:v>
      </x:c>
      <x:c r="F73" s="9" t="n">
        <x:f>_xlfn.STDEV.S(Raw_Strongest_Baseline_Repeats!F52:F61)*100</x:f>
        <x:v>1.9344993798594619</x:v>
      </x:c>
      <x:c r="G73" s="9" t="n">
        <x:f>AVERAGE(Raw_Strongest_Baseline_Repeats!G52:G61)*100</x:f>
        <x:v>82.50000059604645</x:v>
      </x:c>
      <x:c r="H73" s="9" t="n">
        <x:f>_xlfn.STDEV.S(Raw_Strongest_Baseline_Repeats!G52:G61)*100</x:f>
        <x:v>2.041241938989782</x:v>
      </x:c>
      <x:c r="I73" s="9" t="n">
        <x:f>AVERAGE(Raw_Strongest_Baseline_Repeats!H52:H61)*100</x:f>
        <x:v>83.33333432674408</x:v>
      </x:c>
      <x:c r="J73" s="9" t="n">
        <x:f>_xlfn.STDEV.S(Raw_Strongest_Baseline_Repeats!H52:H61)*100</x:f>
        <x:v>5.249142956476028</x:v>
      </x:c>
      <x:c r="K73" s="9"/>
      <x:c r="L73" s="8"/>
      <x:c r="M73" s="8"/>
      <x:c r="N73" s="8"/>
      <x:c r="O73" s="8"/>
      <x:c r="P73" s="9"/>
      <x:c r="Q73" s="9"/>
      <x:c r="R73" s="9"/>
      <x:c r="S73" s="10"/>
      <x:c r="T73" s="9"/>
      <x:c r="U73" s="8"/>
      <x:c r="V73" s="8"/>
      <x:c r="W73" s="9"/>
      <x:c r="X73" s="8"/>
      <x:c r="Y73" s="9"/>
      <x:c r="Z73" s="8"/>
      <x:c r="AA73" s="8"/>
      <x:c r="AB73" s="8" t="str">
        <x:v>strongest_baseline_repeats_merged.csv</x:v>
      </x:c>
      <x:c r="AC73" s="8" t="str">
        <x:v>rows 52-61 in Raw_Strongest_Baseline_Repeats</x:v>
      </x:c>
    </x:row>
    <x:row r="74" ht="22" customHeight="1">
      <x:c r="A74" s="11" t="s">
        <x:v>56</x:v>
      </x:c>
      <x:c r="B74" s="11" t="s">
        <x:v>100</x:v>
      </x:c>
      <x:c r="C74" s="11" t="s">
        <x:v>2</x:v>
      </x:c>
      <x:c r="D74" s="12" t="n">
        <x:f>COUNT(Raw_SRC_V16C_Repeats!H52:H61)</x:f>
        <x:v>10</x:v>
      </x:c>
      <x:c r="E74" s="13" t="n">
        <x:f>AVERAGE(Raw_SRC_V16C_Repeats!F52:F61)*100</x:f>
        <x:v>100</x:v>
      </x:c>
      <x:c r="F74" s="13" t="n">
        <x:f>_xlfn.STDEV.S(Raw_SRC_V16C_Repeats!F52:F61)*100</x:f>
        <x:v>0</x:v>
      </x:c>
      <x:c r="G74" s="13" t="n">
        <x:f>AVERAGE(Raw_SRC_V16C_Repeats!G52:G61)*100</x:f>
        <x:v>85.25</x:v>
      </x:c>
      <x:c r="H74" s="13" t="n">
        <x:f>_xlfn.STDEV.S(Raw_SRC_V16C_Repeats!G52:G61)*100</x:f>
        <x:v>1.53659074288215</x:v>
      </x:c>
      <x:c r="I74" s="13" t="n">
        <x:f>AVERAGE(Raw_SRC_V16C_Repeats!H52:H61)*100</x:f>
        <x:v>84.3137254901961</x:v>
      </x:c>
      <x:c r="J74" s="13" t="n">
        <x:f>_xlfn.STDEV.S(Raw_SRC_V16C_Repeats!H52:H61)*100</x:f>
        <x:v>4.235778234253523</x:v>
      </x:c>
      <x:c r="K74" s="13" t="n">
        <x:f>I74-I73</x:f>
        <x:v>0.9803911634520261</x:v>
      </x:c>
      <x:c r="L74" s="12"/>
      <x:c r="M74" s="12"/>
      <x:c r="N74" s="12"/>
      <x:c r="O74" s="12"/>
      <x:c r="P74" s="13"/>
      <x:c r="Q74" s="13"/>
      <x:c r="R74" s="13"/>
      <x:c r="S74" s="14"/>
      <x:c r="T74" s="13"/>
      <x:c r="U74" s="12"/>
      <x:c r="V74" s="12"/>
      <x:c r="W74" s="13"/>
      <x:c r="X74" s="12"/>
      <x:c r="Y74" s="13"/>
      <x:c r="Z74" s="12"/>
      <x:c r="AA74" s="12"/>
      <x:c r="AB74" s="12" t="s">
        <x:v>101</x:v>
      </x:c>
      <x:c r="AC74" s="12" t="s">
        <x:v>112</x:v>
      </x:c>
    </x:row>
    <x:row r="75" ht="22" customHeight="1">
      <x:c r="A75" s="15" t="str">
        <x:f>Raw_SRC_V16C_Repeats!A52</x:f>
        <x:v>wisconsin</x:v>
      </x:c>
      <x:c r="B75" s="15" t="str">
        <x:f>"SRC-v16c repeat "&amp;Raw_SRC_V16C_Repeats!B52</x:f>
        <x:v>SRC-v16c repeat 0</x:v>
      </x:c>
      <x:c r="C75" s="15" t="s">
        <x:v>2</x:v>
      </x:c>
      <x:c r="D75" s="15"/>
      <x:c r="E75" s="16"/>
      <x:c r="F75" s="16"/>
      <x:c r="G75" s="16"/>
      <x:c r="H75" s="16"/>
      <x:c r="I75" s="16"/>
      <x:c r="J75" s="16"/>
      <x:c r="K75" s="16"/>
      <x:c r="L75" s="15" t="n">
        <x:f>Raw_SRC_V16C_Repeats!B52</x:f>
        <x:v>0</x:v>
      </x:c>
      <x:c r="M75" s="15" t="n">
        <x:f>Raw_SRC_V16C_Repeats!C52</x:f>
        <x:v>20260419</x:v>
      </x:c>
      <x:c r="N75" s="15" t="n">
        <x:f>Raw_SRC_V16C_Repeats!D52</x:f>
        <x:v>0</x:v>
      </x:c>
      <x:c r="O75" s="15" t="str">
        <x:f>Raw_SRC_V16C_Repeats!E52</x:f>
        <x:v>random_stratified_matching_fixed_split0_class_counts</x:v>
      </x:c>
      <x:c r="P75" s="16" t="n">
        <x:f>Raw_SRC_V16C_Repeats!F52*100</x:f>
        <x:v>100</x:v>
      </x:c>
      <x:c r="Q75" s="16" t="n">
        <x:f>Raw_SRC_V16C_Repeats!G52*100</x:f>
        <x:v>86.25</x:v>
      </x:c>
      <x:c r="R75" s="16" t="n">
        <x:f>Raw_SRC_V16C_Repeats!H52*100</x:f>
        <x:v>90.1960784313726</x:v>
      </x:c>
      <x:c r="S75" s="17" t="n">
        <x:f>Raw_SRC_V16C_Repeats!H52</x:f>
        <x:v>0.901960784313726</x:v>
      </x:c>
      <x:c r="T75" s="16" t="n">
        <x:f>Raw_SRC_V16C_Repeats!I52*100</x:f>
        <x:v>67.0836236933798</x:v>
      </x:c>
      <x:c r="U75" s="15" t="n">
        <x:f>Raw_SRC_V16C_Repeats!J52</x:f>
        <x:v>4000</x:v>
      </x:c>
      <x:c r="V75" s="15" t="n">
        <x:f>Raw_SRC_V16C_Repeats!K52</x:f>
        <x:v>32</x:v>
      </x:c>
      <x:c r="W75" s="16" t="n">
        <x:f>Raw_SRC_V16C_Repeats!L52</x:f>
        <x:v>0.9</x:v>
      </x:c>
      <x:c r="X75" s="15" t="str">
        <x:f>Raw_SRC_V16C_Repeats!M52</x:f>
        <x:v>(0.05, 0.5, 5.0)</x:v>
      </x:c>
      <x:c r="Y75" s="16" t="n">
        <x:f>Raw_SRC_V16C_Repeats!N52</x:f>
        <x:v>0.2</x:v>
      </x:c>
      <x:c r="Z75" s="15" t="str">
        <x:f>Raw_SRC_V16C_Repeats!O52</x:f>
        <x:v>full</x:v>
      </x:c>
      <x:c r="AA75" s="15" t="str">
        <x:f>Raw_SRC_V16C_Repeats!P52</x:f>
        <x:v>grid_selected_by_val_only_no_test</x:v>
      </x:c>
      <x:c r="AB75" s="15" t="str">
        <x:f>Raw_SRC_V16C_Repeats!R52</x:f>
        <x:v>src_v16c_final_6datasets_repeat_rows.csv</x:v>
      </x:c>
      <x:c r="AC75" s="15" t="n">
        <x:f>Raw_SRC_V16C_Repeats!S52</x:f>
        <x:v>22</x:v>
      </x:c>
    </x:row>
    <x:row r="76" ht="22" customHeight="1">
      <x:c r="A76" s="15" t="str">
        <x:f>Raw_SRC_V16C_Repeats!A53</x:f>
        <x:v>wisconsin</x:v>
      </x:c>
      <x:c r="B76" s="15" t="str">
        <x:f>"SRC-v16c repeat "&amp;Raw_SRC_V16C_Repeats!B53</x:f>
        <x:v>SRC-v16c repeat 1</x:v>
      </x:c>
      <x:c r="C76" s="15" t="s">
        <x:v>2</x:v>
      </x:c>
      <x:c r="D76" s="15"/>
      <x:c r="E76" s="16"/>
      <x:c r="F76" s="16"/>
      <x:c r="G76" s="16"/>
      <x:c r="H76" s="16"/>
      <x:c r="I76" s="16"/>
      <x:c r="J76" s="16"/>
      <x:c r="K76" s="16"/>
      <x:c r="L76" s="15" t="n">
        <x:f>Raw_SRC_V16C_Repeats!B53</x:f>
        <x:v>1</x:v>
      </x:c>
      <x:c r="M76" s="15" t="n">
        <x:f>Raw_SRC_V16C_Repeats!C53</x:f>
        <x:v>20260420</x:v>
      </x:c>
      <x:c r="N76" s="15" t="n">
        <x:f>Raw_SRC_V16C_Repeats!D53</x:f>
        <x:v>0</x:v>
      </x:c>
      <x:c r="O76" s="15" t="str">
        <x:f>Raw_SRC_V16C_Repeats!E53</x:f>
        <x:v>random_stratified_matching_fixed_split0_class_counts</x:v>
      </x:c>
      <x:c r="P76" s="16" t="n">
        <x:f>Raw_SRC_V16C_Repeats!F53*100</x:f>
        <x:v>100</x:v>
      </x:c>
      <x:c r="Q76" s="16" t="n">
        <x:f>Raw_SRC_V16C_Repeats!G53*100</x:f>
        <x:v>86.25</x:v>
      </x:c>
      <x:c r="R76" s="16" t="n">
        <x:f>Raw_SRC_V16C_Repeats!H53*100</x:f>
        <x:v>86.27450980392159</x:v>
      </x:c>
      <x:c r="S76" s="17" t="n">
        <x:f>Raw_SRC_V16C_Repeats!H53</x:f>
        <x:v>0.862745098039216</x:v>
      </x:c>
      <x:c r="T76" s="16" t="n">
        <x:f>Raw_SRC_V16C_Repeats!I53*100</x:f>
        <x:v>68.2264808362369</x:v>
      </x:c>
      <x:c r="U76" s="15" t="n">
        <x:f>Raw_SRC_V16C_Repeats!J53</x:f>
        <x:v>4000</x:v>
      </x:c>
      <x:c r="V76" s="15" t="n">
        <x:f>Raw_SRC_V16C_Repeats!K53</x:f>
        <x:v>32</x:v>
      </x:c>
      <x:c r="W76" s="16" t="n">
        <x:f>Raw_SRC_V16C_Repeats!L53</x:f>
        <x:v>0.9</x:v>
      </x:c>
      <x:c r="X76" s="15" t="str">
        <x:f>Raw_SRC_V16C_Repeats!M53</x:f>
        <x:v>(0.05, 0.5, 5.0)</x:v>
      </x:c>
      <x:c r="Y76" s="16" t="n">
        <x:f>Raw_SRC_V16C_Repeats!N53</x:f>
        <x:v>0.2</x:v>
      </x:c>
      <x:c r="Z76" s="15" t="str">
        <x:f>Raw_SRC_V16C_Repeats!O53</x:f>
        <x:v>full</x:v>
      </x:c>
      <x:c r="AA76" s="15" t="str">
        <x:f>Raw_SRC_V16C_Repeats!P53</x:f>
        <x:v>grid_selected_by_val_only_no_test</x:v>
      </x:c>
      <x:c r="AB76" s="15" t="str">
        <x:f>Raw_SRC_V16C_Repeats!R53</x:f>
        <x:v>src_v16c_final_6datasets_repeat_rows.csv</x:v>
      </x:c>
      <x:c r="AC76" s="15" t="n">
        <x:f>Raw_SRC_V16C_Repeats!S53</x:f>
        <x:v>23</x:v>
      </x:c>
    </x:row>
    <x:row r="77" ht="22" customHeight="1">
      <x:c r="A77" s="15" t="str">
        <x:f>Raw_SRC_V16C_Repeats!A54</x:f>
        <x:v>wisconsin</x:v>
      </x:c>
      <x:c r="B77" s="15" t="str">
        <x:f>"SRC-v16c repeat "&amp;Raw_SRC_V16C_Repeats!B54</x:f>
        <x:v>SRC-v16c repeat 2</x:v>
      </x:c>
      <x:c r="C77" s="15" t="s">
        <x:v>2</x:v>
      </x:c>
      <x:c r="D77" s="15"/>
      <x:c r="E77" s="16"/>
      <x:c r="F77" s="16"/>
      <x:c r="G77" s="16"/>
      <x:c r="H77" s="16"/>
      <x:c r="I77" s="16"/>
      <x:c r="J77" s="16"/>
      <x:c r="K77" s="16"/>
      <x:c r="L77" s="15" t="n">
        <x:f>Raw_SRC_V16C_Repeats!B54</x:f>
        <x:v>2</x:v>
      </x:c>
      <x:c r="M77" s="15" t="n">
        <x:f>Raw_SRC_V16C_Repeats!C54</x:f>
        <x:v>20260421</x:v>
      </x:c>
      <x:c r="N77" s="15" t="n">
        <x:f>Raw_SRC_V16C_Repeats!D54</x:f>
        <x:v>0</x:v>
      </x:c>
      <x:c r="O77" s="15" t="str">
        <x:f>Raw_SRC_V16C_Repeats!E54</x:f>
        <x:v>random_stratified_matching_fixed_split0_class_counts</x:v>
      </x:c>
      <x:c r="P77" s="16" t="n">
        <x:f>Raw_SRC_V16C_Repeats!F54*100</x:f>
        <x:v>100</x:v>
      </x:c>
      <x:c r="Q77" s="16" t="n">
        <x:f>Raw_SRC_V16C_Repeats!G54*100</x:f>
        <x:v>86.25</x:v>
      </x:c>
      <x:c r="R77" s="16" t="n">
        <x:f>Raw_SRC_V16C_Repeats!H54*100</x:f>
        <x:v>84.3137254901961</x:v>
      </x:c>
      <x:c r="S77" s="17" t="n">
        <x:f>Raw_SRC_V16C_Repeats!H54</x:f>
        <x:v>0.843137254901961</x:v>
      </x:c>
      <x:c r="T77" s="16" t="n">
        <x:f>Raw_SRC_V16C_Repeats!I54*100</x:f>
        <x:v>68.2264808362369</x:v>
      </x:c>
      <x:c r="U77" s="15" t="n">
        <x:f>Raw_SRC_V16C_Repeats!J54</x:f>
        <x:v>5000</x:v>
      </x:c>
      <x:c r="V77" s="15" t="n">
        <x:f>Raw_SRC_V16C_Repeats!K54</x:f>
        <x:v>32</x:v>
      </x:c>
      <x:c r="W77" s="16" t="n">
        <x:f>Raw_SRC_V16C_Repeats!L54</x:f>
        <x:v>0.95</x:v>
      </x:c>
      <x:c r="X77" s="15" t="str">
        <x:f>Raw_SRC_V16C_Repeats!M54</x:f>
        <x:v>(0.05, 0.5, 5.0)</x:v>
      </x:c>
      <x:c r="Y77" s="16" t="n">
        <x:f>Raw_SRC_V16C_Repeats!N54</x:f>
        <x:v>0.4</x:v>
      </x:c>
      <x:c r="Z77" s="15" t="str">
        <x:f>Raw_SRC_V16C_Repeats!O54</x:f>
        <x:v>full</x:v>
      </x:c>
      <x:c r="AA77" s="15" t="str">
        <x:f>Raw_SRC_V16C_Repeats!P54</x:f>
        <x:v>grid_selected_by_val_only_no_test</x:v>
      </x:c>
      <x:c r="AB77" s="15" t="str">
        <x:f>Raw_SRC_V16C_Repeats!R54</x:f>
        <x:v>src_v16c_final_6datasets_repeat_rows.csv</x:v>
      </x:c>
      <x:c r="AC77" s="15" t="n">
        <x:f>Raw_SRC_V16C_Repeats!S54</x:f>
        <x:v>24</x:v>
      </x:c>
    </x:row>
    <x:row r="78" ht="22" customHeight="1">
      <x:c r="A78" s="15" t="str">
        <x:f>Raw_SRC_V16C_Repeats!A55</x:f>
        <x:v>wisconsin</x:v>
      </x:c>
      <x:c r="B78" s="15" t="str">
        <x:f>"SRC-v16c repeat "&amp;Raw_SRC_V16C_Repeats!B55</x:f>
        <x:v>SRC-v16c repeat 3</x:v>
      </x:c>
      <x:c r="C78" s="15" t="s">
        <x:v>2</x:v>
      </x:c>
      <x:c r="D78" s="15"/>
      <x:c r="E78" s="16"/>
      <x:c r="F78" s="16"/>
      <x:c r="G78" s="16"/>
      <x:c r="H78" s="16"/>
      <x:c r="I78" s="16"/>
      <x:c r="J78" s="16"/>
      <x:c r="K78" s="16"/>
      <x:c r="L78" s="15" t="n">
        <x:f>Raw_SRC_V16C_Repeats!B55</x:f>
        <x:v>3</x:v>
      </x:c>
      <x:c r="M78" s="15" t="n">
        <x:f>Raw_SRC_V16C_Repeats!C55</x:f>
        <x:v>20260422</x:v>
      </x:c>
      <x:c r="N78" s="15" t="n">
        <x:f>Raw_SRC_V16C_Repeats!D55</x:f>
        <x:v>0</x:v>
      </x:c>
      <x:c r="O78" s="15" t="str">
        <x:f>Raw_SRC_V16C_Repeats!E55</x:f>
        <x:v>random_stratified_matching_fixed_split0_class_counts</x:v>
      </x:c>
      <x:c r="P78" s="16" t="n">
        <x:f>Raw_SRC_V16C_Repeats!F55*100</x:f>
        <x:v>100</x:v>
      </x:c>
      <x:c r="Q78" s="16" t="n">
        <x:f>Raw_SRC_V16C_Repeats!G55*100</x:f>
        <x:v>86.25</x:v>
      </x:c>
      <x:c r="R78" s="16" t="n">
        <x:f>Raw_SRC_V16C_Repeats!H55*100</x:f>
        <x:v>86.27450980392159</x:v>
      </x:c>
      <x:c r="S78" s="17" t="n">
        <x:f>Raw_SRC_V16C_Repeats!H55</x:f>
        <x:v>0.862745098039216</x:v>
      </x:c>
      <x:c r="T78" s="16" t="n">
        <x:f>Raw_SRC_V16C_Repeats!I55*100</x:f>
        <x:v>67.0836236933798</x:v>
      </x:c>
      <x:c r="U78" s="15" t="n">
        <x:f>Raw_SRC_V16C_Repeats!J55</x:f>
        <x:v>4000</x:v>
      </x:c>
      <x:c r="V78" s="15" t="n">
        <x:f>Raw_SRC_V16C_Repeats!K55</x:f>
        <x:v>32</x:v>
      </x:c>
      <x:c r="W78" s="16" t="n">
        <x:f>Raw_SRC_V16C_Repeats!L55</x:f>
        <x:v>0.9</x:v>
      </x:c>
      <x:c r="X78" s="15" t="str">
        <x:f>Raw_SRC_V16C_Repeats!M55</x:f>
        <x:v>(0.1, 1.0, 10.0)</x:v>
      </x:c>
      <x:c r="Y78" s="16" t="n">
        <x:f>Raw_SRC_V16C_Repeats!N55</x:f>
        <x:v>0.6</x:v>
      </x:c>
      <x:c r="Z78" s="15" t="str">
        <x:f>Raw_SRC_V16C_Repeats!O55</x:f>
        <x:v>full</x:v>
      </x:c>
      <x:c r="AA78" s="15" t="str">
        <x:f>Raw_SRC_V16C_Repeats!P55</x:f>
        <x:v>grid_selected_by_val_only_no_test</x:v>
      </x:c>
      <x:c r="AB78" s="15" t="str">
        <x:f>Raw_SRC_V16C_Repeats!R55</x:f>
        <x:v>src_v16c_final_6datasets_repeat_rows.csv</x:v>
      </x:c>
      <x:c r="AC78" s="15" t="n">
        <x:f>Raw_SRC_V16C_Repeats!S55</x:f>
        <x:v>25</x:v>
      </x:c>
    </x:row>
    <x:row r="79" ht="22" customHeight="1">
      <x:c r="A79" s="15" t="str">
        <x:f>Raw_SRC_V16C_Repeats!A56</x:f>
        <x:v>wisconsin</x:v>
      </x:c>
      <x:c r="B79" s="15" t="str">
        <x:f>"SRC-v16c repeat "&amp;Raw_SRC_V16C_Repeats!B56</x:f>
        <x:v>SRC-v16c repeat 4</x:v>
      </x:c>
      <x:c r="C79" s="15" t="s">
        <x:v>2</x:v>
      </x:c>
      <x:c r="D79" s="15"/>
      <x:c r="E79" s="16"/>
      <x:c r="F79" s="16"/>
      <x:c r="G79" s="16"/>
      <x:c r="H79" s="16"/>
      <x:c r="I79" s="16"/>
      <x:c r="J79" s="16"/>
      <x:c r="K79" s="16"/>
      <x:c r="L79" s="15" t="n">
        <x:f>Raw_SRC_V16C_Repeats!B56</x:f>
        <x:v>4</x:v>
      </x:c>
      <x:c r="M79" s="15" t="n">
        <x:f>Raw_SRC_V16C_Repeats!C56</x:f>
        <x:v>20260423</x:v>
      </x:c>
      <x:c r="N79" s="15" t="n">
        <x:f>Raw_SRC_V16C_Repeats!D56</x:f>
        <x:v>0</x:v>
      </x:c>
      <x:c r="O79" s="15" t="str">
        <x:f>Raw_SRC_V16C_Repeats!E56</x:f>
        <x:v>random_stratified_matching_fixed_split0_class_counts</x:v>
      </x:c>
      <x:c r="P79" s="16" t="n">
        <x:f>Raw_SRC_V16C_Repeats!F56*100</x:f>
        <x:v>100</x:v>
      </x:c>
      <x:c r="Q79" s="16" t="n">
        <x:f>Raw_SRC_V16C_Repeats!G56*100</x:f>
        <x:v>87.5</x:v>
      </x:c>
      <x:c r="R79" s="16" t="n">
        <x:f>Raw_SRC_V16C_Repeats!H56*100</x:f>
        <x:v>88.2352941176471</x:v>
      </x:c>
      <x:c r="S79" s="17" t="n">
        <x:f>Raw_SRC_V16C_Repeats!H56</x:f>
        <x:v>0.882352941176471</x:v>
      </x:c>
      <x:c r="T79" s="16" t="n">
        <x:f>Raw_SRC_V16C_Repeats!I56*100</x:f>
        <x:v>69.2264808362369</x:v>
      </x:c>
      <x:c r="U79" s="15" t="n">
        <x:f>Raw_SRC_V16C_Repeats!J56</x:f>
        <x:v>5000</x:v>
      </x:c>
      <x:c r="V79" s="15" t="n">
        <x:f>Raw_SRC_V16C_Repeats!K56</x:f>
        <x:v>32</x:v>
      </x:c>
      <x:c r="W79" s="16" t="n">
        <x:f>Raw_SRC_V16C_Repeats!L56</x:f>
        <x:v>0.9</x:v>
      </x:c>
      <x:c r="X79" s="15" t="str">
        <x:f>Raw_SRC_V16C_Repeats!M56</x:f>
        <x:v>(0.01, 0.1, 1.0)</x:v>
      </x:c>
      <x:c r="Y79" s="16" t="n">
        <x:f>Raw_SRC_V16C_Repeats!N56</x:f>
        <x:v>0.2</x:v>
      </x:c>
      <x:c r="Z79" s="15" t="str">
        <x:f>Raw_SRC_V16C_Repeats!O56</x:f>
        <x:v>full</x:v>
      </x:c>
      <x:c r="AA79" s="15" t="str">
        <x:f>Raw_SRC_V16C_Repeats!P56</x:f>
        <x:v>grid_selected_by_val_only_no_test</x:v>
      </x:c>
      <x:c r="AB79" s="15" t="str">
        <x:f>Raw_SRC_V16C_Repeats!R56</x:f>
        <x:v>src_v16c_final_6datasets_repeat_rows.csv</x:v>
      </x:c>
      <x:c r="AC79" s="15" t="n">
        <x:f>Raw_SRC_V16C_Repeats!S56</x:f>
        <x:v>26</x:v>
      </x:c>
    </x:row>
    <x:row r="80" ht="22" customHeight="1">
      <x:c r="A80" s="15" t="str">
        <x:f>Raw_SRC_V16C_Repeats!A57</x:f>
        <x:v>wisconsin</x:v>
      </x:c>
      <x:c r="B80" s="15" t="str">
        <x:f>"SRC-v16c repeat "&amp;Raw_SRC_V16C_Repeats!B57</x:f>
        <x:v>SRC-v16c repeat 5</x:v>
      </x:c>
      <x:c r="C80" s="15" t="s">
        <x:v>2</x:v>
      </x:c>
      <x:c r="D80" s="15"/>
      <x:c r="E80" s="16"/>
      <x:c r="F80" s="16"/>
      <x:c r="G80" s="16"/>
      <x:c r="H80" s="16"/>
      <x:c r="I80" s="16"/>
      <x:c r="J80" s="16"/>
      <x:c r="K80" s="16"/>
      <x:c r="L80" s="15" t="n">
        <x:f>Raw_SRC_V16C_Repeats!B57</x:f>
        <x:v>5</x:v>
      </x:c>
      <x:c r="M80" s="15" t="n">
        <x:f>Raw_SRC_V16C_Repeats!C57</x:f>
        <x:v>20260424</x:v>
      </x:c>
      <x:c r="N80" s="15" t="n">
        <x:f>Raw_SRC_V16C_Repeats!D57</x:f>
        <x:v>0</x:v>
      </x:c>
      <x:c r="O80" s="15" t="str">
        <x:f>Raw_SRC_V16C_Repeats!E57</x:f>
        <x:v>random_stratified_matching_fixed_split0_class_counts</x:v>
      </x:c>
      <x:c r="P80" s="16" t="n">
        <x:f>Raw_SRC_V16C_Repeats!F57*100</x:f>
        <x:v>100</x:v>
      </x:c>
      <x:c r="Q80" s="16" t="n">
        <x:f>Raw_SRC_V16C_Repeats!G57*100</x:f>
        <x:v>85</x:v>
      </x:c>
      <x:c r="R80" s="16" t="n">
        <x:f>Raw_SRC_V16C_Repeats!H57*100</x:f>
        <x:v>86.27450980392159</x:v>
      </x:c>
      <x:c r="S80" s="17" t="n">
        <x:f>Raw_SRC_V16C_Repeats!H57</x:f>
        <x:v>0.862745098039216</x:v>
      </x:c>
      <x:c r="T80" s="16" t="n">
        <x:f>Raw_SRC_V16C_Repeats!I57*100</x:f>
        <x:v>63.5121951219512</x:v>
      </x:c>
      <x:c r="U80" s="15" t="n">
        <x:f>Raw_SRC_V16C_Repeats!J57</x:f>
        <x:v>6000</x:v>
      </x:c>
      <x:c r="V80" s="15" t="n">
        <x:f>Raw_SRC_V16C_Repeats!K57</x:f>
        <x:v>32</x:v>
      </x:c>
      <x:c r="W80" s="16" t="n">
        <x:f>Raw_SRC_V16C_Repeats!L57</x:f>
        <x:v>0.9</x:v>
      </x:c>
      <x:c r="X80" s="15" t="str">
        <x:f>Raw_SRC_V16C_Repeats!M57</x:f>
        <x:v>(0.01, 0.1, 1.0)</x:v>
      </x:c>
      <x:c r="Y80" s="16" t="n">
        <x:f>Raw_SRC_V16C_Repeats!N57</x:f>
        <x:v>0.2</x:v>
      </x:c>
      <x:c r="Z80" s="15" t="str">
        <x:f>Raw_SRC_V16C_Repeats!O57</x:f>
        <x:v>full</x:v>
      </x:c>
      <x:c r="AA80" s="15" t="str">
        <x:f>Raw_SRC_V16C_Repeats!P57</x:f>
        <x:v>grid_selected_by_val_only_no_test</x:v>
      </x:c>
      <x:c r="AB80" s="15" t="str">
        <x:f>Raw_SRC_V16C_Repeats!R57</x:f>
        <x:v>src_v16c_final_6datasets_repeat_rows.csv</x:v>
      </x:c>
      <x:c r="AC80" s="15" t="n">
        <x:f>Raw_SRC_V16C_Repeats!S57</x:f>
        <x:v>27</x:v>
      </x:c>
    </x:row>
    <x:row r="81" ht="22" customHeight="1">
      <x:c r="A81" s="15" t="str">
        <x:f>Raw_SRC_V16C_Repeats!A58</x:f>
        <x:v>wisconsin</x:v>
      </x:c>
      <x:c r="B81" s="15" t="str">
        <x:f>"SRC-v16c repeat "&amp;Raw_SRC_V16C_Repeats!B58</x:f>
        <x:v>SRC-v16c repeat 6</x:v>
      </x:c>
      <x:c r="C81" s="15" t="s">
        <x:v>2</x:v>
      </x:c>
      <x:c r="D81" s="15"/>
      <x:c r="E81" s="16"/>
      <x:c r="F81" s="16"/>
      <x:c r="G81" s="16"/>
      <x:c r="H81" s="16"/>
      <x:c r="I81" s="16"/>
      <x:c r="J81" s="16"/>
      <x:c r="K81" s="16"/>
      <x:c r="L81" s="15" t="n">
        <x:f>Raw_SRC_V16C_Repeats!B58</x:f>
        <x:v>6</x:v>
      </x:c>
      <x:c r="M81" s="15" t="n">
        <x:f>Raw_SRC_V16C_Repeats!C58</x:f>
        <x:v>20260425</x:v>
      </x:c>
      <x:c r="N81" s="15" t="n">
        <x:f>Raw_SRC_V16C_Repeats!D58</x:f>
        <x:v>0</x:v>
      </x:c>
      <x:c r="O81" s="15" t="str">
        <x:f>Raw_SRC_V16C_Repeats!E58</x:f>
        <x:v>random_stratified_matching_fixed_split0_class_counts</x:v>
      </x:c>
      <x:c r="P81" s="16" t="n">
        <x:f>Raw_SRC_V16C_Repeats!F58*100</x:f>
        <x:v>100</x:v>
      </x:c>
      <x:c r="Q81" s="16" t="n">
        <x:f>Raw_SRC_V16C_Repeats!G58*100</x:f>
        <x:v>82.5</x:v>
      </x:c>
      <x:c r="R81" s="16" t="n">
        <x:f>Raw_SRC_V16C_Repeats!H58*100</x:f>
        <x:v>84.3137254901961</x:v>
      </x:c>
      <x:c r="S81" s="17" t="n">
        <x:f>Raw_SRC_V16C_Repeats!H58</x:f>
        <x:v>0.843137254901961</x:v>
      </x:c>
      <x:c r="T81" s="16" t="n">
        <x:f>Raw_SRC_V16C_Repeats!I58*100</x:f>
        <x:v>65.0243902439024</x:v>
      </x:c>
      <x:c r="U81" s="15" t="n">
        <x:f>Raw_SRC_V16C_Repeats!J58</x:f>
        <x:v>4000</x:v>
      </x:c>
      <x:c r="V81" s="15" t="n">
        <x:f>Raw_SRC_V16C_Repeats!K58</x:f>
        <x:v>32</x:v>
      </x:c>
      <x:c r="W81" s="16" t="n">
        <x:f>Raw_SRC_V16C_Repeats!L58</x:f>
        <x:v>0.9</x:v>
      </x:c>
      <x:c r="X81" s="15" t="str">
        <x:f>Raw_SRC_V16C_Repeats!M58</x:f>
        <x:v>(0.05, 0.5, 5.0)</x:v>
      </x:c>
      <x:c r="Y81" s="16" t="n">
        <x:f>Raw_SRC_V16C_Repeats!N58</x:f>
        <x:v>0.2</x:v>
      </x:c>
      <x:c r="Z81" s="15" t="str">
        <x:f>Raw_SRC_V16C_Repeats!O58</x:f>
        <x:v>full</x:v>
      </x:c>
      <x:c r="AA81" s="15" t="str">
        <x:f>Raw_SRC_V16C_Repeats!P58</x:f>
        <x:v>grid_selected_by_val_only_no_test</x:v>
      </x:c>
      <x:c r="AB81" s="15" t="str">
        <x:f>Raw_SRC_V16C_Repeats!R58</x:f>
        <x:v>src_v16c_final_6datasets_repeat_rows.csv</x:v>
      </x:c>
      <x:c r="AC81" s="15" t="n">
        <x:f>Raw_SRC_V16C_Repeats!S58</x:f>
        <x:v>28</x:v>
      </x:c>
    </x:row>
    <x:row r="82" ht="22" customHeight="1">
      <x:c r="A82" s="15" t="str">
        <x:f>Raw_SRC_V16C_Repeats!A59</x:f>
        <x:v>wisconsin</x:v>
      </x:c>
      <x:c r="B82" s="15" t="str">
        <x:f>"SRC-v16c repeat "&amp;Raw_SRC_V16C_Repeats!B59</x:f>
        <x:v>SRC-v16c repeat 7</x:v>
      </x:c>
      <x:c r="C82" s="15" t="s">
        <x:v>2</x:v>
      </x:c>
      <x:c r="D82" s="15"/>
      <x:c r="E82" s="16"/>
      <x:c r="F82" s="16"/>
      <x:c r="G82" s="16"/>
      <x:c r="H82" s="16"/>
      <x:c r="I82" s="16"/>
      <x:c r="J82" s="16"/>
      <x:c r="K82" s="16"/>
      <x:c r="L82" s="15" t="n">
        <x:f>Raw_SRC_V16C_Repeats!B59</x:f>
        <x:v>7</x:v>
      </x:c>
      <x:c r="M82" s="15" t="n">
        <x:f>Raw_SRC_V16C_Repeats!C59</x:f>
        <x:v>20260426</x:v>
      </x:c>
      <x:c r="N82" s="15" t="n">
        <x:f>Raw_SRC_V16C_Repeats!D59</x:f>
        <x:v>0</x:v>
      </x:c>
      <x:c r="O82" s="15" t="str">
        <x:f>Raw_SRC_V16C_Repeats!E59</x:f>
        <x:v>random_stratified_matching_fixed_split0_class_counts</x:v>
      </x:c>
      <x:c r="P82" s="16" t="n">
        <x:f>Raw_SRC_V16C_Repeats!F59*100</x:f>
        <x:v>100</x:v>
      </x:c>
      <x:c r="Q82" s="16" t="n">
        <x:f>Raw_SRC_V16C_Repeats!G59*100</x:f>
        <x:v>83.75</x:v>
      </x:c>
      <x:c r="R82" s="16" t="n">
        <x:f>Raw_SRC_V16C_Repeats!H59*100</x:f>
        <x:v>78.4313725490196</x:v>
      </x:c>
      <x:c r="S82" s="17" t="n">
        <x:f>Raw_SRC_V16C_Repeats!H59</x:f>
        <x:v>0.784313725490196</x:v>
      </x:c>
      <x:c r="T82" s="16" t="n">
        <x:f>Raw_SRC_V16C_Repeats!I59*100</x:f>
        <x:v>68.47735191637629</x:v>
      </x:c>
      <x:c r="U82" s="15" t="n">
        <x:f>Raw_SRC_V16C_Repeats!J59</x:f>
        <x:v>4000</x:v>
      </x:c>
      <x:c r="V82" s="15" t="n">
        <x:f>Raw_SRC_V16C_Repeats!K59</x:f>
        <x:v>32</x:v>
      </x:c>
      <x:c r="W82" s="16" t="n">
        <x:f>Raw_SRC_V16C_Repeats!L59</x:f>
        <x:v>0.9</x:v>
      </x:c>
      <x:c r="X82" s="15" t="str">
        <x:f>Raw_SRC_V16C_Repeats!M59</x:f>
        <x:v>(0.01, 0.1, 1.0)</x:v>
      </x:c>
      <x:c r="Y82" s="16" t="n">
        <x:f>Raw_SRC_V16C_Repeats!N59</x:f>
        <x:v>0.2</x:v>
      </x:c>
      <x:c r="Z82" s="15" t="str">
        <x:f>Raw_SRC_V16C_Repeats!O59</x:f>
        <x:v>full</x:v>
      </x:c>
      <x:c r="AA82" s="15" t="str">
        <x:f>Raw_SRC_V16C_Repeats!P59</x:f>
        <x:v>grid_selected_by_val_only_no_test</x:v>
      </x:c>
      <x:c r="AB82" s="15" t="str">
        <x:f>Raw_SRC_V16C_Repeats!R59</x:f>
        <x:v>src_v16c_final_6datasets_repeat_rows.csv</x:v>
      </x:c>
      <x:c r="AC82" s="15" t="n">
        <x:f>Raw_SRC_V16C_Repeats!S59</x:f>
        <x:v>29</x:v>
      </x:c>
    </x:row>
    <x:row r="83" ht="22" customHeight="1">
      <x:c r="A83" s="15" t="str">
        <x:f>Raw_SRC_V16C_Repeats!A60</x:f>
        <x:v>wisconsin</x:v>
      </x:c>
      <x:c r="B83" s="15" t="str">
        <x:f>"SRC-v16c repeat "&amp;Raw_SRC_V16C_Repeats!B60</x:f>
        <x:v>SRC-v16c repeat 8</x:v>
      </x:c>
      <x:c r="C83" s="15" t="s">
        <x:v>2</x:v>
      </x:c>
      <x:c r="D83" s="15"/>
      <x:c r="E83" s="16"/>
      <x:c r="F83" s="16"/>
      <x:c r="G83" s="16"/>
      <x:c r="H83" s="16"/>
      <x:c r="I83" s="16"/>
      <x:c r="J83" s="16"/>
      <x:c r="K83" s="16"/>
      <x:c r="L83" s="15" t="n">
        <x:f>Raw_SRC_V16C_Repeats!B60</x:f>
        <x:v>8</x:v>
      </x:c>
      <x:c r="M83" s="15" t="n">
        <x:f>Raw_SRC_V16C_Repeats!C60</x:f>
        <x:v>20260427</x:v>
      </x:c>
      <x:c r="N83" s="15" t="n">
        <x:f>Raw_SRC_V16C_Repeats!D60</x:f>
        <x:v>0</x:v>
      </x:c>
      <x:c r="O83" s="15" t="str">
        <x:f>Raw_SRC_V16C_Repeats!E60</x:f>
        <x:v>random_stratified_matching_fixed_split0_class_counts</x:v>
      </x:c>
      <x:c r="P83" s="16" t="n">
        <x:f>Raw_SRC_V16C_Repeats!F60*100</x:f>
        <x:v>100</x:v>
      </x:c>
      <x:c r="Q83" s="16" t="n">
        <x:f>Raw_SRC_V16C_Repeats!G60*100</x:f>
        <x:v>85</x:v>
      </x:c>
      <x:c r="R83" s="16" t="n">
        <x:f>Raw_SRC_V16C_Repeats!H60*100</x:f>
        <x:v>82.3529411764706</x:v>
      </x:c>
      <x:c r="S83" s="17" t="n">
        <x:f>Raw_SRC_V16C_Repeats!H60</x:f>
        <x:v>0.823529411764706</x:v>
      </x:c>
      <x:c r="T83" s="16" t="n">
        <x:f>Raw_SRC_V16C_Repeats!I60*100</x:f>
        <x:v>60</x:v>
      </x:c>
      <x:c r="U83" s="15" t="n">
        <x:f>Raw_SRC_V16C_Repeats!J60</x:f>
        <x:v>4000</x:v>
      </x:c>
      <x:c r="V83" s="15" t="n">
        <x:f>Raw_SRC_V16C_Repeats!K60</x:f>
        <x:v>32</x:v>
      </x:c>
      <x:c r="W83" s="16" t="n">
        <x:f>Raw_SRC_V16C_Repeats!L60</x:f>
        <x:v>0.9</x:v>
      </x:c>
      <x:c r="X83" s="15" t="str">
        <x:f>Raw_SRC_V16C_Repeats!M60</x:f>
        <x:v>(0.01, 0.1, 1.0)</x:v>
      </x:c>
      <x:c r="Y83" s="16" t="n">
        <x:f>Raw_SRC_V16C_Repeats!N60</x:f>
        <x:v>0.2</x:v>
      </x:c>
      <x:c r="Z83" s="15" t="str">
        <x:f>Raw_SRC_V16C_Repeats!O60</x:f>
        <x:v>full</x:v>
      </x:c>
      <x:c r="AA83" s="15" t="str">
        <x:f>Raw_SRC_V16C_Repeats!P60</x:f>
        <x:v>grid_selected_by_val_only_no_test</x:v>
      </x:c>
      <x:c r="AB83" s="15" t="str">
        <x:f>Raw_SRC_V16C_Repeats!R60</x:f>
        <x:v>src_v16c_final_6datasets_repeat_rows.csv</x:v>
      </x:c>
      <x:c r="AC83" s="15" t="n">
        <x:f>Raw_SRC_V16C_Repeats!S60</x:f>
        <x:v>30</x:v>
      </x:c>
    </x:row>
    <x:row r="84" ht="22" customHeight="1">
      <x:c r="A84" s="15" t="str">
        <x:f>Raw_SRC_V16C_Repeats!A61</x:f>
        <x:v>wisconsin</x:v>
      </x:c>
      <x:c r="B84" s="15" t="str">
        <x:f>"SRC-v16c repeat "&amp;Raw_SRC_V16C_Repeats!B61</x:f>
        <x:v>SRC-v16c repeat 9</x:v>
      </x:c>
      <x:c r="C84" s="15" t="s">
        <x:v>2</x:v>
      </x:c>
      <x:c r="D84" s="15"/>
      <x:c r="E84" s="16"/>
      <x:c r="F84" s="16"/>
      <x:c r="G84" s="16"/>
      <x:c r="H84" s="16"/>
      <x:c r="I84" s="16"/>
      <x:c r="J84" s="16"/>
      <x:c r="K84" s="16"/>
      <x:c r="L84" s="15" t="n">
        <x:f>Raw_SRC_V16C_Repeats!B61</x:f>
        <x:v>9</x:v>
      </x:c>
      <x:c r="M84" s="15" t="n">
        <x:f>Raw_SRC_V16C_Repeats!C61</x:f>
        <x:v>20260428</x:v>
      </x:c>
      <x:c r="N84" s="15" t="n">
        <x:f>Raw_SRC_V16C_Repeats!D61</x:f>
        <x:v>0</x:v>
      </x:c>
      <x:c r="O84" s="15" t="str">
        <x:f>Raw_SRC_V16C_Repeats!E61</x:f>
        <x:v>random_stratified_matching_fixed_split0_class_counts</x:v>
      </x:c>
      <x:c r="P84" s="16" t="n">
        <x:f>Raw_SRC_V16C_Repeats!F61*100</x:f>
        <x:v>100</x:v>
      </x:c>
      <x:c r="Q84" s="16" t="n">
        <x:f>Raw_SRC_V16C_Repeats!G61*100</x:f>
        <x:v>83.75</x:v>
      </x:c>
      <x:c r="R84" s="16" t="n">
        <x:f>Raw_SRC_V16C_Repeats!H61*100</x:f>
        <x:v>76.4705882352941</x:v>
      </x:c>
      <x:c r="S84" s="17" t="n">
        <x:f>Raw_SRC_V16C_Repeats!H61</x:f>
        <x:v>0.764705882352941</x:v>
      </x:c>
      <x:c r="T84" s="16" t="n">
        <x:f>Raw_SRC_V16C_Repeats!I61*100</x:f>
        <x:v>59.512195121951194</x:v>
      </x:c>
      <x:c r="U84" s="15" t="n">
        <x:f>Raw_SRC_V16C_Repeats!J61</x:f>
        <x:v>5000</x:v>
      </x:c>
      <x:c r="V84" s="15" t="n">
        <x:f>Raw_SRC_V16C_Repeats!K61</x:f>
        <x:v>32</x:v>
      </x:c>
      <x:c r="W84" s="16" t="n">
        <x:f>Raw_SRC_V16C_Repeats!L61</x:f>
        <x:v>0.9</x:v>
      </x:c>
      <x:c r="X84" s="15" t="str">
        <x:f>Raw_SRC_V16C_Repeats!M61</x:f>
        <x:v>(0.05, 0.5, 5.0)</x:v>
      </x:c>
      <x:c r="Y84" s="16" t="n">
        <x:f>Raw_SRC_V16C_Repeats!N61</x:f>
        <x:v>0.7</x:v>
      </x:c>
      <x:c r="Z84" s="15" t="str">
        <x:f>Raw_SRC_V16C_Repeats!O61</x:f>
        <x:v>full</x:v>
      </x:c>
      <x:c r="AA84" s="15" t="str">
        <x:f>Raw_SRC_V16C_Repeats!P61</x:f>
        <x:v>grid_selected_by_val_only_no_test</x:v>
      </x:c>
      <x:c r="AB84" s="15" t="str">
        <x:f>Raw_SRC_V16C_Repeats!R61</x:f>
        <x:v>src_v16c_final_6datasets_repeat_rows.csv</x:v>
      </x:c>
      <x:c r="AC84" s="15" t="n">
        <x:f>Raw_SRC_V16C_Repeats!S61</x:f>
        <x:v>31</x:v>
      </x:c>
    </x:row>
  </x:sheetData>
  <x:mergeCells>
    <x:mergeCell ref="A2:AC2"/>
    <x:mergeCell ref="A16:AC16"/>
    <x:mergeCell ref="A30:AC30"/>
    <x:mergeCell ref="A44:AC44"/>
    <x:mergeCell ref="A58:AC58"/>
    <x:mergeCell ref="A72:AC7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45" customWidth="1"/>
    <x:col min="2" max="2" width="90" customWidth="1"/>
    <x:col min="3" max="3" width="25" customWidth="1"/>
    <x:col min="4" max="4" width="20" customWidth="1"/>
    <x:col min="5" max="5" width="22" customWidth="1"/>
    <x:col min="6" max="6" width="27" customWidth="1"/>
  </x:cols>
  <x:sheetData>
    <x:row r="1" ht="18" customHeight="1">
      <x:c r="A1" s="1" t="s">
        <x:v>113</x:v>
      </x:c>
      <x:c r="B1" s="1" t="s">
        <x:v>114</x:v>
      </x:c>
      <x:c r="C1" s="2"/>
      <x:c r="D1" s="2"/>
      <x:c r="E1" s="2"/>
      <x:c r="F1" s="2"/>
    </x:row>
    <x:row r="2" ht="18" customHeight="1">
      <x:c r="A2" s="3" t="s">
        <x:v>115</x:v>
      </x:c>
      <x:c r="B2" s="2" t="s">
        <x:v>116</x:v>
      </x:c>
      <x:c r="C2" s="2"/>
      <x:c r="D2" s="2"/>
      <x:c r="E2" s="2"/>
      <x:c r="F2" s="2"/>
    </x:row>
    <x:row r="3" ht="18" customHeight="1">
      <x:c r="A3" s="3" t="s">
        <x:v>117</x:v>
      </x:c>
      <x:c r="B3" s="2" t="s">
        <x:v>118</x:v>
      </x:c>
      <x:c r="C3" s="2"/>
      <x:c r="D3" s="2"/>
      <x:c r="E3" s="2"/>
      <x:c r="F3" s="2"/>
    </x:row>
    <x:row r="4" ht="18" customHeight="1">
      <x:c r="A4" s="3" t="s">
        <x:v>119</x:v>
      </x:c>
      <x:c r="B4" s="2" t="str">
        <x:v>strong_baseline_results_cpu(3).tar / strongest_baseline_repeats_merged.csv</x:v>
      </x:c>
      <x:c r="C4" s="2"/>
      <x:c r="D4" s="2"/>
      <x:c r="E4" s="2"/>
      <x:c r="F4" s="2"/>
    </x:row>
    <x:row r="5" ht="18" customHeight="1">
      <x:c r="A5" s="3" t="s">
        <x:v>120</x:v>
      </x:c>
      <x:c r="B5" s="2" t="s">
        <x:v>121</x:v>
      </x:c>
      <x:c r="C5" s="2"/>
      <x:c r="D5" s="2"/>
      <x:c r="E5" s="2"/>
      <x:c r="F5" s="2"/>
    </x:row>
    <x:row r="6" ht="18" customHeight="1">
      <x:c r="A6" s="3" t="s">
        <x:v>122</x:v>
      </x:c>
      <x:c r="B6" s="2" t="s">
        <x:v>42</x:v>
      </x:c>
      <x:c r="C6" s="2"/>
      <x:c r="D6" s="2"/>
      <x:c r="E6" s="2"/>
      <x:c r="F6" s="2"/>
    </x:row>
    <x:row r="7" ht="18" customHeight="1">
      <x:c r="A7" s="3" t="s">
        <x:v>123</x:v>
      </x:c>
      <x:c r="B7" s="2" t="s">
        <x:v>124</x:v>
      </x:c>
      <x:c r="C7" s="2"/>
      <x:c r="D7" s="2"/>
      <x:c r="E7" s="2"/>
      <x:c r="F7" s="2"/>
    </x:row>
    <x:row r="8" ht="18" customHeight="1">
      <x:c r="A8" s="3" t="s">
        <x:v>125</x:v>
      </x:c>
      <x:c r="B8" s="2" t="str">
        <x:v>Baseline rows replaced from strongest_baseline_repeats_merged.csv; aligned by dataset + repeat + split_id/split_seed; selection uses val only, no test</x:v>
      </x:c>
      <x:c r="C8" s="2"/>
      <x:c r="D8" s="2"/>
      <x:c r="E8" s="2"/>
      <x:c r="F8" s="2"/>
    </x:row>
    <x:row r="9" ht="18" customHeight="1">
      <x:c r="A9" s="3" t="s">
        <x:v>126</x:v>
      </x:c>
      <x:c r="B9" s="2" t="s">
        <x:v>127</x:v>
      </x:c>
      <x:c r="C9" s="2"/>
      <x:c r="D9" s="2"/>
      <x:c r="E9" s="2"/>
      <x:c r="F9" s="2"/>
    </x:row>
    <x:row r="10" ht="18" customHeight="1">
      <x:c r="A10" s="3" t="s">
        <x:v>128</x:v>
      </x:c>
      <x:c r="B10" s="2" t="s">
        <x:v>129</x:v>
      </x:c>
      <x:c r="C10" s="2"/>
      <x:c r="D10" s="2"/>
      <x:c r="E10" s="2"/>
      <x:c r="F10" s="2"/>
    </x:row>
    <x:row r="11" ht="18" customHeight="1">
      <x:c r="A11" s="3" t="s">
        <x:v>130</x:v>
      </x:c>
      <x:c r="B11" s="2" t="str">
        <x:v>Raw_SRC_V16C_Repeats left unchanged; Raw_Strongest_Baseline_Repeats replaced with corrected baseline rows</x:v>
      </x:c>
      <x:c r="C11" s="2"/>
      <x:c r="D11" s="2"/>
      <x:c r="E11" s="2"/>
      <x:c r="F11" s="2"/>
    </x:row>
    <x:row r="12" ht="18" customHeight="1">
      <x:c r="A12" s="2"/>
      <x:c r="B12" s="2"/>
      <x:c r="C12" s="2"/>
      <x:c r="D12" s="2"/>
      <x:c r="E12" s="2"/>
      <x:c r="F12" s="2"/>
    </x:row>
    <x:row r="13" ht="18" customHeight="1">
      <x:c r="A13" s="4" t="s">
        <x:v>0</x:v>
      </x:c>
      <x:c r="B13" s="4" t="s">
        <x:v>131</x:v>
      </x:c>
      <x:c r="C13" s="4" t="s">
        <x:v>132</x:v>
      </x:c>
      <x:c r="D13" s="4" t="s">
        <x:v>133</x:v>
      </x:c>
      <x:c r="E13" s="4" t="s">
        <x:v>134</x:v>
      </x:c>
      <x:c r="F13" s="4" t="s">
        <x:v>135</x:v>
      </x:c>
    </x:row>
    <x:row r="14" ht="18" customHeight="1">
      <x:c r="A14" s="2" t="s">
        <x:v>27</x:v>
      </x:c>
      <x:c r="B14" s="2">
        <x:v>10</x:v>
      </x:c>
      <x:c r="C14" s="2" t="str">
        <x:v>GraphSAGE</x:v>
      </x:c>
      <x:c r="D14" s="2">
        <x:v>10</x:v>
      </x:c>
      <x:c r="E14" s="2" t="s">
        <x:v>136</x:v>
      </x:c>
      <x:c r="F14" s="2" t="s">
        <x:v>137</x:v>
      </x:c>
    </x:row>
    <x:row r="15" ht="18" customHeight="1">
      <x:c r="A15" s="2" t="s">
        <x:v>36</x:v>
      </x:c>
      <x:c r="B15" s="2">
        <x:v>10</x:v>
      </x:c>
      <x:c r="C15" s="2" t="str">
        <x:v>GraphSAGE</x:v>
      </x:c>
      <x:c r="D15" s="2">
        <x:v>10</x:v>
      </x:c>
      <x:c r="E15" s="2" t="s">
        <x:v>138</x:v>
      </x:c>
      <x:c r="F15" s="2" t="s">
        <x:v>139</x:v>
      </x:c>
    </x:row>
    <x:row r="16" ht="18" customHeight="1">
      <x:c r="A16" s="2" t="s">
        <x:v>39</x:v>
      </x:c>
      <x:c r="B16" s="2">
        <x:v>10</x:v>
      </x:c>
      <x:c r="C16" s="2" t="str">
        <x:v>LINKX</x:v>
      </x:c>
      <x:c r="D16" s="2">
        <x:v>10</x:v>
      </x:c>
      <x:c r="E16" s="2" t="s">
        <x:v>140</x:v>
      </x:c>
      <x:c r="F16" s="2" t="s">
        <x:v>141</x:v>
      </x:c>
    </x:row>
    <x:row r="17" ht="18" customHeight="1">
      <x:c r="A17" s="2" t="s">
        <x:v>53</x:v>
      </x:c>
      <x:c r="B17" s="2">
        <x:v>10</x:v>
      </x:c>
      <x:c r="C17" s="2" t="str">
        <x:v>GraphSAGE</x:v>
      </x:c>
      <x:c r="D17" s="2">
        <x:v>10</x:v>
      </x:c>
      <x:c r="E17" s="2" t="s">
        <x:v>142</x:v>
      </x:c>
      <x:c r="F17" s="2" t="s">
        <x:v>143</x:v>
      </x:c>
    </x:row>
    <x:row r="18" ht="18" customHeight="1">
      <x:c r="A18" s="2" t="s">
        <x:v>55</x:v>
      </x:c>
      <x:c r="B18" s="2">
        <x:v>10</x:v>
      </x:c>
      <x:c r="C18" s="2" t="str">
        <x:v>GraphSAGE</x:v>
      </x:c>
      <x:c r="D18" s="2">
        <x:v>10</x:v>
      </x:c>
      <x:c r="E18" s="2" t="s">
        <x:v>144</x:v>
      </x:c>
      <x:c r="F18" s="2" t="s">
        <x:v>145</x:v>
      </x:c>
    </x:row>
    <x:row r="19" ht="18" customHeight="1">
      <x:c r="A19" s="2" t="s">
        <x:v>56</x:v>
      </x:c>
      <x:c r="B19" s="2">
        <x:v>10</x:v>
      </x:c>
      <x:c r="C19" s="2" t="str">
        <x:v>GraphSAGE</x:v>
      </x:c>
      <x:c r="D19" s="2">
        <x:v>10</x:v>
      </x:c>
      <x:c r="E19" s="2" t="s">
        <x:v>146</x:v>
      </x:c>
      <x:c r="F19" s="2" t="s">
        <x:v>147</x:v>
      </x:c>
    </x:row>
    <x:row r="21">
      <x:c r="A21" s="5" t="s">
        <x:v>148</x:v>
      </x:c>
      <x:c r="B21" s="5" t="s">
        <x:v>149</x:v>
      </x:c>
      <x:c r="C21" s="5" t="s">
        <x:v>150</x:v>
      </x:c>
    </x:row>
    <x:row r="22">
      <x:c r="A22" t="str">
        <x:v>strong_baseline_results_cpu(3).tar</x:v>
      </x:c>
      <x:c r="B22" t="n">
        <x:v>307200</x:v>
      </x:c>
      <x:c r="C22" t="str">
        <x:v>61bc734cd03738fe</x:v>
      </x:c>
    </x:row>
    <x:row r="23">
      <x:c r="A23" t="s">
        <x:v>33</x:v>
      </x:c>
      <x:c r="B23">
        <x:v>24183</x:v>
      </x:c>
      <x:c r="C23" t="s">
        <x:v>151</x:v>
      </x:c>
    </x:row>
    <x:row r="24">
      <x:c r="A24" t="s">
        <x:v>42</x:v>
      </x:c>
      <x:c r="B24">
        <x:v>6156</x:v>
      </x:c>
      <x:c r="C24" t="s">
        <x:v>152</x:v>
      </x:c>
    </x:row>
  </x:sheetData>
  <x:pageMargins left="0.7" right="0.7" top="0.75" bottom="0.75" header="0.3" footer="0.3"/>
</x:worksheet>
</file>