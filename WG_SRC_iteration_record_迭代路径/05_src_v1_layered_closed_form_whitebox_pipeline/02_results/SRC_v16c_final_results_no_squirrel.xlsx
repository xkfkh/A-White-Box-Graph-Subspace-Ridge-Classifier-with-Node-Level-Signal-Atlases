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Paper_Table" sheetId="1" r:id="rId1"/>
    <sheet name="Raw_SRC_V16C_Repeats" sheetId="2" r:id="rId2"/>
    <sheet name="Raw_Strongest_Baseline_Repeats" sheetId="3" r:id="rId3"/>
    <sheet name="Baseline_Method_Stats" sheetId="4" r:id="rId4"/>
    <sheet name="Compact_Summary" sheetId="5" r:id="rId5"/>
    <sheet name="Final_Table_Sections" sheetId="6" r:id="rId6"/>
    <sheet name="Self_Check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OpenAI</author>
  </authors>
  <commentList>
    <comment ref="A1" authorId="0">
      <text>
        <r>
          <rPr>
            <sz val="10"/>
            <rFont val="宋体"/>
            <charset val="134"/>
          </rPr>
          <t>Squirrel is removed per user request; Actor is not included in the final table. All values are sourced from uploaded files listed in Self_Check.</t>
        </r>
      </text>
    </comment>
  </commentList>
</comments>
</file>

<file path=xl/sharedStrings.xml><?xml version="1.0" encoding="utf-8"?>
<sst xmlns="http://schemas.openxmlformats.org/spreadsheetml/2006/main" count="1285" uniqueCount="178">
  <si>
    <t>Dataset</t>
  </si>
  <si>
    <t>Strongest baseline</t>
  </si>
  <si>
    <t>SRC-v16c</t>
  </si>
  <si>
    <t>Gain (pp)</t>
  </si>
  <si>
    <t>Baseline method</t>
  </si>
  <si>
    <t>n</t>
  </si>
  <si>
    <t>Average</t>
  </si>
  <si>
    <t>dataset</t>
  </si>
  <si>
    <t>repeat</t>
  </si>
  <si>
    <t>seed</t>
  </si>
  <si>
    <t>split_id</t>
  </si>
  <si>
    <t>split_policy</t>
  </si>
  <si>
    <t>train_acc_raw</t>
  </si>
  <si>
    <t>val_acc_raw</t>
  </si>
  <si>
    <t>test_acc_raw</t>
  </si>
  <si>
    <t>val_bal_acc_raw</t>
  </si>
  <si>
    <t>top_k</t>
  </si>
  <si>
    <t>dim</t>
  </si>
  <si>
    <t>energy</t>
  </si>
  <si>
    <t>alphas</t>
  </si>
  <si>
    <t>w</t>
  </si>
  <si>
    <t>feature_variant</t>
  </si>
  <si>
    <t>selection_rule</t>
  </si>
  <si>
    <t>grid</t>
  </si>
  <si>
    <t>source_file</t>
  </si>
  <si>
    <t>source_line</t>
  </si>
  <si>
    <t>source_path</t>
  </si>
  <si>
    <t>amazon-computers</t>
  </si>
  <si>
    <t>class_balanced_random_20_train_30_val_per_class</t>
  </si>
  <si>
    <t>(0.05, 0.5, 5.0)</t>
  </si>
  <si>
    <t>full</t>
  </si>
  <si>
    <t>grid_selected_by_val_only_no_test</t>
  </si>
  <si>
    <t>fast</t>
  </si>
  <si>
    <t>src_v16c_final_6datasets_repeat_rows.csv</t>
  </si>
  <si>
    <t>/mnt/data/srcv16c_submission_package/src_v16c_final_6datasets_repeat_rows.csv</t>
  </si>
  <si>
    <t>(0.01, 0.1, 1.0)</t>
  </si>
  <si>
    <t>amazon-photo</t>
  </si>
  <si>
    <t>default</t>
  </si>
  <si>
    <t>(0.1, 1.0, 10.0)</t>
  </si>
  <si>
    <t>chameleon</t>
  </si>
  <si>
    <t>fixed_geom_gcn_split_id_0</t>
  </si>
  <si>
    <t/>
  </si>
  <si>
    <t>src_v16c_main_table_10repeat_rows(1).csv</t>
  </si>
  <si>
    <t>/mnt/data/src_v16c_main_table_10repeat_rows(1).csv</t>
  </si>
  <si>
    <t>fixed_geom_gcn_split_id_1</t>
  </si>
  <si>
    <t>fixed_geom_gcn_split_id_2</t>
  </si>
  <si>
    <t>fixed_geom_gcn_split_id_3</t>
  </si>
  <si>
    <t>fixed_geom_gcn_split_id_4</t>
  </si>
  <si>
    <t>fixed_geom_gcn_split_id_5</t>
  </si>
  <si>
    <t>fixed_geom_gcn_split_id_6</t>
  </si>
  <si>
    <t>fixed_geom_gcn_split_id_7</t>
  </si>
  <si>
    <t>fixed_geom_gcn_split_id_8</t>
  </si>
  <si>
    <t>fixed_geom_gcn_split_id_9</t>
  </si>
  <si>
    <t>cornell</t>
  </si>
  <si>
    <t>random_stratified_matching_fixed_split0_class_counts</t>
  </si>
  <si>
    <t>texas</t>
  </si>
  <si>
    <t>wisconsin</t>
  </si>
  <si>
    <t>method</t>
  </si>
  <si>
    <t>best_epoch</t>
  </si>
  <si>
    <t>time_sec</t>
  </si>
  <si>
    <t>params</t>
  </si>
  <si>
    <t>graphsage</t>
  </si>
  <si>
    <t>baseline_grid_selected_by_val_acc_only_no_test</t>
  </si>
  <si>
    <t>pyg_baselines_fair_best_by_val_partial(1)(1).csv</t>
  </si>
  <si>
    <t>/mnt/data/pyg_baselines_fair_best_by_val_partial(1)(1).csv</t>
  </si>
  <si>
    <t>class_balanced_random_split_seed</t>
  </si>
  <si>
    <t>linkx</t>
  </si>
  <si>
    <t>geom_gcn_mask_split_id</t>
  </si>
  <si>
    <t>train_mean_%</t>
  </si>
  <si>
    <t>train_std_%</t>
  </si>
  <si>
    <t>val_mean_%</t>
  </si>
  <si>
    <t>val_std_%</t>
  </si>
  <si>
    <t>test_mean_%</t>
  </si>
  <si>
    <t>test_std_%</t>
  </si>
  <si>
    <t>is_strongest_by_test_mean</t>
  </si>
  <si>
    <t>GraphSAGE</t>
  </si>
  <si>
    <t>YES</t>
  </si>
  <si>
    <t>Correct&amp;Smooth</t>
  </si>
  <si>
    <t>SIGN</t>
  </si>
  <si>
    <t>GAT</t>
  </si>
  <si>
    <t>APPNP</t>
  </si>
  <si>
    <t>MLP+Prop</t>
  </si>
  <si>
    <t>LINKX</t>
  </si>
  <si>
    <t>GCNII</t>
  </si>
  <si>
    <t>strongest_baseline_method</t>
  </si>
  <si>
    <t>baseline_n</t>
  </si>
  <si>
    <t>baseline_val_mean_%</t>
  </si>
  <si>
    <t>baseline_val_std_%</t>
  </si>
  <si>
    <t>baseline_test_mean_%</t>
  </si>
  <si>
    <t>baseline_test_std_%</t>
  </si>
  <si>
    <t>src_v16c_n</t>
  </si>
  <si>
    <t>src_val_mean_%</t>
  </si>
  <si>
    <t>src_val_std_%</t>
  </si>
  <si>
    <t>src_test_mean_%</t>
  </si>
  <si>
    <t>src_test_std_%</t>
  </si>
  <si>
    <t>gain_vs_baseline_pp</t>
  </si>
  <si>
    <t>Entry</t>
  </si>
  <si>
    <t>Method</t>
  </si>
  <si>
    <t>Train Mean %</t>
  </si>
  <si>
    <t>Train Std %</t>
  </si>
  <si>
    <t>Val Mean %</t>
  </si>
  <si>
    <t>Val Std %</t>
  </si>
  <si>
    <t>Test Mean %</t>
  </si>
  <si>
    <t>Test Std %</t>
  </si>
  <si>
    <t>Gain vs strongest baseline (pp)</t>
  </si>
  <si>
    <t>Repeat</t>
  </si>
  <si>
    <t>Seed</t>
  </si>
  <si>
    <t>Split ID</t>
  </si>
  <si>
    <t>Split policy</t>
  </si>
  <si>
    <t>Train Acc %</t>
  </si>
  <si>
    <t>Val Acc %</t>
  </si>
  <si>
    <t>Test Acc %</t>
  </si>
  <si>
    <t>Test Acc raw</t>
  </si>
  <si>
    <t>Val Bal Acc %</t>
  </si>
  <si>
    <t>Dataset: amazon-computers</t>
  </si>
  <si>
    <t>Strongest baseline summary</t>
  </si>
  <si>
    <t>rows 2-11 in Raw_Strongest_Baseline_Repeats</t>
  </si>
  <si>
    <t>SRC-v16c summary</t>
  </si>
  <si>
    <t>SRC-v16c repeat rows: final 6-dataset package + chameleon CSV</t>
  </si>
  <si>
    <t>Raw_SRC_V16C_Repeats rows 2-11</t>
  </si>
  <si>
    <t>Dataset: amazon-photo</t>
  </si>
  <si>
    <t>rows 12-21 in Raw_Strongest_Baseline_Repeats</t>
  </si>
  <si>
    <t>Raw_SRC_V16C_Repeats rows 12-21</t>
  </si>
  <si>
    <t>Dataset: chameleon</t>
  </si>
  <si>
    <t>rows 22-31 in Raw_Strongest_Baseline_Repeats</t>
  </si>
  <si>
    <t>Raw_SRC_V16C_Repeats rows 22-31</t>
  </si>
  <si>
    <t>Dataset: cornell</t>
  </si>
  <si>
    <t>rows 32-41 in Raw_Strongest_Baseline_Repeats</t>
  </si>
  <si>
    <t>Raw_SRC_V16C_Repeats rows 32-41</t>
  </si>
  <si>
    <t>Dataset: texas</t>
  </si>
  <si>
    <t>rows 42-51 in Raw_Strongest_Baseline_Repeats</t>
  </si>
  <si>
    <t>Raw_SRC_V16C_Repeats rows 42-51</t>
  </si>
  <si>
    <t>Dataset: wisconsin</t>
  </si>
  <si>
    <t>rows 52-61 in Raw_Strongest_Baseline_Repeats</t>
  </si>
  <si>
    <t>Raw_SRC_V16C_Repeats rows 52-61</t>
  </si>
  <si>
    <t>Check item</t>
  </si>
  <si>
    <t>Result</t>
  </si>
  <si>
    <t>Included datasets</t>
  </si>
  <si>
    <t>amazon-computers, amazon-photo, chameleon, cornell, texas, wisconsin</t>
  </si>
  <si>
    <t>Excluded per request / table policy</t>
  </si>
  <si>
    <t>squirrel removed; actor excluded</t>
  </si>
  <si>
    <t>Baseline source file</t>
  </si>
  <si>
    <t>SRC-v16c 6-dataset source file</t>
  </si>
  <si>
    <t>srcv16c_submission_package/src_v16c_final_6datasets_repeat_rows.csv</t>
  </si>
  <si>
    <t>SRC-v16c chameleon source file</t>
  </si>
  <si>
    <t>Chameleon file extra row handling</t>
  </si>
  <si>
    <t>Used only dataset == chameleon; ignored 1 squirrel row in that CSV</t>
  </si>
  <si>
    <t>Strongest baseline rule</t>
  </si>
  <si>
    <t>For each included dataset, choose baseline method with highest mean test_acc across repeats from pyg_baselines_fair_best_by_val_partial(1)(1).csv</t>
  </si>
  <si>
    <t>Std definition</t>
  </si>
  <si>
    <t>STDEV.S / sample standard deviation across 10 repeats</t>
  </si>
  <si>
    <t>All summary gains</t>
  </si>
  <si>
    <t>Formula: SRC-v16c test mean (%) - strongest baseline test mean (%)</t>
  </si>
  <si>
    <t>Raw rows imported unchanged</t>
  </si>
  <si>
    <t>See Raw_SRC_V16C_Repeats and Raw_Strongest_Baseline_Repeats</t>
  </si>
  <si>
    <t>SRC-v16c rows used</t>
  </si>
  <si>
    <t>Strongest baseline method</t>
  </si>
  <si>
    <t>Baseline rows used</t>
  </si>
  <si>
    <t>SRC source row range</t>
  </si>
  <si>
    <t>Baseline source row range</t>
  </si>
  <si>
    <t>Raw_SRC rows 2-11</t>
  </si>
  <si>
    <t>Raw_baseline rows 2-11</t>
  </si>
  <si>
    <t>Raw_SRC rows 12-21</t>
  </si>
  <si>
    <t>Raw_baseline rows 12-21</t>
  </si>
  <si>
    <t>Raw_SRC rows 22-31</t>
  </si>
  <si>
    <t>Raw_baseline rows 22-31</t>
  </si>
  <si>
    <t>Raw_SRC rows 32-41</t>
  </si>
  <si>
    <t>Raw_baseline rows 32-41</t>
  </si>
  <si>
    <t>Raw_SRC rows 42-51</t>
  </si>
  <si>
    <t>Raw_baseline rows 42-51</t>
  </si>
  <si>
    <t>Raw_SRC rows 52-61</t>
  </si>
  <si>
    <t>Raw_baseline rows 52-61</t>
  </si>
  <si>
    <t>Source file</t>
  </si>
  <si>
    <t>Size bytes</t>
  </si>
  <si>
    <t>SHA-256 first 16 hex</t>
  </si>
  <si>
    <t>609b2c43d0889e8f</t>
  </si>
  <si>
    <t>8575c8ab68224f29</t>
  </si>
  <si>
    <t>e33ac29aed2aabea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</si>
</sst>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"/>
  </numFmts>
  <fonts count="27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3"/>
      <color rgb="FF1F4E78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8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0" fillId="0" borderId="0"/>
  </cellStyleXfs>
  <cellXfs count="41">
    <xf numFmtId="0" fontId="0" fillId="0" borderId="0" xfId="49"/>
    <xf numFmtId="0" fontId="1" fillId="2" borderId="0" xfId="49" applyFont="1" applyFill="1" applyAlignment="1">
      <alignment vertical="center" wrapText="1"/>
    </xf>
    <xf numFmtId="0" fontId="0" fillId="0" borderId="0" xfId="49" applyAlignment="1">
      <alignment vertical="center" wrapText="1"/>
    </xf>
    <xf numFmtId="0" fontId="1" fillId="0" borderId="0" xfId="49" applyFont="1" applyAlignment="1">
      <alignment vertical="center" wrapText="1"/>
    </xf>
    <xf numFmtId="0" fontId="1" fillId="3" borderId="0" xfId="49" applyFont="1" applyFill="1" applyAlignment="1">
      <alignment vertical="center" wrapText="1"/>
    </xf>
    <xf numFmtId="0" fontId="1" fillId="3" borderId="0" xfId="49" applyFont="1" applyFill="1"/>
    <xf numFmtId="0" fontId="2" fillId="4" borderId="0" xfId="49" applyFont="1" applyFill="1" applyAlignment="1">
      <alignment vertical="center" wrapText="1"/>
    </xf>
    <xf numFmtId="0" fontId="1" fillId="5" borderId="0" xfId="49" applyFont="1" applyFill="1" applyAlignment="1">
      <alignment vertical="center" wrapText="1"/>
    </xf>
    <xf numFmtId="0" fontId="3" fillId="5" borderId="0" xfId="49" applyFont="1" applyFill="1" applyAlignment="1">
      <alignment vertical="center" wrapText="1"/>
    </xf>
    <xf numFmtId="2" fontId="3" fillId="5" borderId="0" xfId="49" applyNumberFormat="1" applyFont="1" applyFill="1" applyAlignment="1">
      <alignment vertical="center" wrapText="1"/>
    </xf>
    <xf numFmtId="176" fontId="3" fillId="5" borderId="0" xfId="49" applyNumberFormat="1" applyFont="1" applyFill="1" applyAlignment="1">
      <alignment vertical="center" wrapText="1"/>
    </xf>
    <xf numFmtId="0" fontId="1" fillId="6" borderId="0" xfId="49" applyFont="1" applyFill="1" applyAlignment="1">
      <alignment vertical="center" wrapText="1"/>
    </xf>
    <xf numFmtId="0" fontId="3" fillId="6" borderId="0" xfId="49" applyFont="1" applyFill="1" applyAlignment="1">
      <alignment vertical="center" wrapText="1"/>
    </xf>
    <xf numFmtId="2" fontId="3" fillId="6" borderId="0" xfId="49" applyNumberFormat="1" applyFont="1" applyFill="1" applyAlignment="1">
      <alignment vertical="center" wrapText="1"/>
    </xf>
    <xf numFmtId="176" fontId="3" fillId="6" borderId="0" xfId="49" applyNumberFormat="1" applyFont="1" applyFill="1" applyAlignment="1">
      <alignment vertical="center" wrapText="1"/>
    </xf>
    <xf numFmtId="0" fontId="3" fillId="0" borderId="0" xfId="49" applyFont="1" applyAlignment="1">
      <alignment vertical="center" wrapText="1"/>
    </xf>
    <xf numFmtId="2" fontId="3" fillId="0" borderId="0" xfId="49" applyNumberFormat="1" applyFont="1" applyAlignment="1">
      <alignment vertical="center" wrapText="1"/>
    </xf>
    <xf numFmtId="176" fontId="3" fillId="0" borderId="0" xfId="49" applyNumberFormat="1" applyFont="1" applyAlignment="1">
      <alignment vertical="center" wrapText="1"/>
    </xf>
    <xf numFmtId="2" fontId="0" fillId="0" borderId="0" xfId="49" applyNumberFormat="1" applyAlignment="1">
      <alignment vertical="center" wrapText="1"/>
    </xf>
    <xf numFmtId="176" fontId="0" fillId="0" borderId="0" xfId="49" applyNumberFormat="1" applyAlignment="1">
      <alignment vertical="center" wrapText="1"/>
    </xf>
    <xf numFmtId="0" fontId="1" fillId="3" borderId="0" xfId="49" applyFont="1" applyFill="1" applyAlignment="1">
      <alignment horizontal="center" wrapText="1"/>
    </xf>
    <xf numFmtId="0" fontId="3" fillId="0" borderId="0" xfId="49" applyFont="1"/>
    <xf numFmtId="2" fontId="3" fillId="0" borderId="0" xfId="49" applyNumberFormat="1" applyFont="1"/>
    <xf numFmtId="2" fontId="0" fillId="0" borderId="0" xfId="49" applyNumberFormat="1"/>
    <xf numFmtId="0" fontId="1" fillId="0" borderId="0" xfId="49" applyFont="1"/>
    <xf numFmtId="2" fontId="1" fillId="6" borderId="0" xfId="49" applyNumberFormat="1" applyFont="1" applyFill="1"/>
    <xf numFmtId="0" fontId="1" fillId="5" borderId="0" xfId="49" applyFont="1" applyFill="1" applyAlignment="1">
      <alignment horizontal="center" wrapText="1"/>
    </xf>
    <xf numFmtId="0" fontId="1" fillId="7" borderId="0" xfId="49" applyFont="1" applyFill="1" applyAlignment="1">
      <alignment vertical="center" wrapText="1"/>
    </xf>
    <xf numFmtId="0" fontId="4" fillId="0" borderId="0" xfId="49" applyFont="1" applyAlignment="1">
      <alignment vertical="center" wrapText="1"/>
    </xf>
    <xf numFmtId="176" fontId="4" fillId="0" borderId="0" xfId="49" applyNumberFormat="1" applyFont="1" applyAlignment="1">
      <alignment vertical="center" wrapText="1"/>
    </xf>
    <xf numFmtId="0" fontId="1" fillId="7" borderId="1" xfId="49" applyFont="1" applyFill="1" applyBorder="1" applyAlignment="1">
      <alignment vertical="center" wrapText="1"/>
    </xf>
    <xf numFmtId="0" fontId="1" fillId="3" borderId="0" xfId="49" applyFont="1" applyFill="1" applyAlignment="1">
      <alignment horizontal="center" vertical="center" wrapText="1"/>
    </xf>
    <xf numFmtId="0" fontId="3" fillId="0" borderId="0" xfId="49" applyFont="1" applyAlignment="1">
      <alignment horizontal="left" vertical="center" wrapText="1"/>
    </xf>
    <xf numFmtId="2" fontId="3" fillId="8" borderId="0" xfId="49" applyNumberFormat="1" applyFont="1" applyFill="1" applyAlignment="1">
      <alignment horizontal="center" vertical="center" wrapText="1"/>
    </xf>
    <xf numFmtId="0" fontId="3" fillId="0" borderId="0" xfId="49" applyFont="1" applyAlignment="1">
      <alignment horizontal="center" vertical="center" wrapText="1"/>
    </xf>
    <xf numFmtId="0" fontId="0" fillId="0" borderId="0" xfId="49" applyAlignment="1">
      <alignment horizontal="left" vertical="center" wrapText="1"/>
    </xf>
    <xf numFmtId="2" fontId="0" fillId="0" borderId="0" xfId="49" applyNumberFormat="1" applyAlignment="1">
      <alignment horizontal="center" vertical="center" wrapText="1"/>
    </xf>
    <xf numFmtId="0" fontId="0" fillId="0" borderId="0" xfId="49" applyAlignment="1">
      <alignment horizontal="center" vertical="center" wrapText="1"/>
    </xf>
    <xf numFmtId="0" fontId="1" fillId="6" borderId="0" xfId="49" applyFont="1" applyFill="1" applyAlignment="1">
      <alignment horizontal="left" vertical="center" wrapText="1"/>
    </xf>
    <xf numFmtId="2" fontId="1" fillId="6" borderId="0" xfId="49" applyNumberFormat="1" applyFont="1" applyFill="1" applyAlignment="1">
      <alignment horizontal="left" vertical="center" wrapText="1"/>
    </xf>
    <xf numFmtId="2" fontId="5" fillId="6" borderId="0" xfId="49" applyNumberFormat="1" applyFont="1" applyFill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showGridLines="0" workbookViewId="0">
      <selection activeCell="A4" sqref="A4:C6"/>
    </sheetView>
  </sheetViews>
  <sheetFormatPr defaultColWidth="9" defaultRowHeight="14.5" outlineLevelCol="5"/>
  <cols>
    <col min="1" max="1" width="18" customWidth="1"/>
    <col min="2" max="3" width="28" customWidth="1"/>
    <col min="4" max="4" width="14" customWidth="1"/>
    <col min="5" max="5" width="18" customWidth="1"/>
    <col min="6" max="6" width="8" customWidth="1"/>
  </cols>
  <sheetData>
    <row r="1" ht="22" customHeight="1" spans="1:6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</row>
    <row r="2" ht="22" customHeight="1" spans="1:6">
      <c r="A2" s="32" t="str">
        <f>Compact_Summary!A2</f>
        <v>amazon-computers</v>
      </c>
      <c r="B2" s="32" t="str">
        <f>Compact_Summary!B2&amp;" "&amp;TEXT(Compact_Summary!F2,"0.00")&amp;" ± "&amp;TEXT(Compact_Summary!G2,"0.00")</f>
        <v>GraphSAGE 77.46 ± 1.87</v>
      </c>
      <c r="C2" s="32" t="str">
        <f>"SRC-v16c "&amp;TEXT(Compact_Summary!K2,"0.00")&amp;" ± "&amp;TEXT(Compact_Summary!L2,"0.00")</f>
        <v>SRC-v16c 78.71 ± 1.15</v>
      </c>
      <c r="D2" s="33">
        <f>Compact_Summary!M2</f>
        <v>1.25113264153524</v>
      </c>
      <c r="E2" s="32" t="str">
        <f>Compact_Summary!B2</f>
        <v>GraphSAGE</v>
      </c>
      <c r="F2" s="34">
        <f>Compact_Summary!H2</f>
        <v>10</v>
      </c>
    </row>
    <row r="3" ht="22" customHeight="1" spans="1:6">
      <c r="A3" s="32" t="str">
        <f>Compact_Summary!A3</f>
        <v>amazon-photo</v>
      </c>
      <c r="B3" s="32" t="str">
        <f>Compact_Summary!B3&amp;" "&amp;TEXT(Compact_Summary!F3,"0.00")&amp;" ± "&amp;TEXT(Compact_Summary!G3,"0.00")</f>
        <v>GraphSAGE 87.59 ± 1.33</v>
      </c>
      <c r="C3" s="32" t="str">
        <f>"SRC-v16c "&amp;TEXT(Compact_Summary!K3,"0.00")&amp;" ± "&amp;TEXT(Compact_Summary!L3,"0.00")</f>
        <v>SRC-v16c 88.76 ± 1.35</v>
      </c>
      <c r="D3" s="33">
        <f>Compact_Summary!M3</f>
        <v>1.173792014122</v>
      </c>
      <c r="E3" s="32" t="str">
        <f>Compact_Summary!B3</f>
        <v>GraphSAGE</v>
      </c>
      <c r="F3" s="34">
        <f>Compact_Summary!H3</f>
        <v>10</v>
      </c>
    </row>
    <row r="4" ht="22" customHeight="1" spans="1:6">
      <c r="A4" s="32" t="str">
        <f>Compact_Summary!A4</f>
        <v>chameleon</v>
      </c>
      <c r="B4" s="32" t="str">
        <f>Compact_Summary!B4&amp;" "&amp;TEXT(Compact_Summary!F4,"0.00")&amp;" ± "&amp;TEXT(Compact_Summary!G4,"0.00")</f>
        <v>LINKX 71.25 ± 1.49</v>
      </c>
      <c r="C4" s="32" t="str">
        <f>"SRC-v16c "&amp;TEXT(Compact_Summary!K4,"0.00")&amp;" ± "&amp;TEXT(Compact_Summary!L4,"0.00")</f>
        <v>SRC-v16c 72.48 ± 1.85</v>
      </c>
      <c r="D4" s="33">
        <f>Compact_Summary!M4</f>
        <v>1.22807077148504</v>
      </c>
      <c r="E4" s="32" t="str">
        <f>Compact_Summary!B4</f>
        <v>LINKX</v>
      </c>
      <c r="F4" s="34">
        <f>Compact_Summary!H4</f>
        <v>10</v>
      </c>
    </row>
    <row r="5" ht="22" customHeight="1" spans="1:6">
      <c r="A5" s="32" t="str">
        <f>Compact_Summary!A5</f>
        <v>cornell</v>
      </c>
      <c r="B5" s="32" t="str">
        <f>Compact_Summary!B5&amp;" "&amp;TEXT(Compact_Summary!F5,"0.00")&amp;" ± "&amp;TEXT(Compact_Summary!G5,"0.00")</f>
        <v>GraphSAGE 70.27 ± 5.70</v>
      </c>
      <c r="C5" s="32" t="str">
        <f>"SRC-v16c "&amp;TEXT(Compact_Summary!K5,"0.00")&amp;" ± "&amp;TEXT(Compact_Summary!L5,"0.00")</f>
        <v>SRC-v16c 75.41 ± 7.26</v>
      </c>
      <c r="D5" s="33">
        <f>Compact_Summary!M5</f>
        <v>5.13513589227522</v>
      </c>
      <c r="E5" s="32" t="str">
        <f>Compact_Summary!B5</f>
        <v>GraphSAGE</v>
      </c>
      <c r="F5" s="34">
        <f>Compact_Summary!H5</f>
        <v>10</v>
      </c>
    </row>
    <row r="6" ht="22" customHeight="1" spans="1:6">
      <c r="A6" s="32" t="str">
        <f>Compact_Summary!A6</f>
        <v>texas</v>
      </c>
      <c r="B6" s="32" t="str">
        <f>Compact_Summary!B6&amp;" "&amp;TEXT(Compact_Summary!F6,"0.00")&amp;" ± "&amp;TEXT(Compact_Summary!G6,"0.00")</f>
        <v>GraphSAGE 78.38 ± 7.96</v>
      </c>
      <c r="C6" s="32" t="str">
        <f>"SRC-v16c "&amp;TEXT(Compact_Summary!K6,"0.00")&amp;" ± "&amp;TEXT(Compact_Summary!L6,"0.00")</f>
        <v>SRC-v16c 86.32 ± 4.08</v>
      </c>
      <c r="D6" s="33">
        <f>Compact_Summary!M6</f>
        <v>7.9374113208369</v>
      </c>
      <c r="E6" s="32" t="str">
        <f>Compact_Summary!B6</f>
        <v>GraphSAGE</v>
      </c>
      <c r="F6" s="34">
        <f>Compact_Summary!H6</f>
        <v>10</v>
      </c>
    </row>
    <row r="7" ht="22" customHeight="1" spans="1:6">
      <c r="A7" s="32" t="str">
        <f>Compact_Summary!A7</f>
        <v>wisconsin</v>
      </c>
      <c r="B7" s="32" t="str">
        <f>Compact_Summary!B7&amp;" "&amp;TEXT(Compact_Summary!F7,"0.00")&amp;" ± "&amp;TEXT(Compact_Summary!G7,"0.00")</f>
        <v>GraphSAGE 81.96 ± 3.18</v>
      </c>
      <c r="C7" s="32" t="str">
        <f>"SRC-v16c "&amp;TEXT(Compact_Summary!K7,"0.00")&amp;" ± "&amp;TEXT(Compact_Summary!L7,"0.00")</f>
        <v>SRC-v16c 84.31 ± 4.24</v>
      </c>
      <c r="D7" s="33">
        <f>Compact_Summary!M7</f>
        <v>2.35294010124954</v>
      </c>
      <c r="E7" s="32" t="str">
        <f>Compact_Summary!B7</f>
        <v>GraphSAGE</v>
      </c>
      <c r="F7" s="34">
        <f>Compact_Summary!H7</f>
        <v>10</v>
      </c>
    </row>
    <row r="8" ht="22" customHeight="1" spans="1:6">
      <c r="A8" s="35"/>
      <c r="B8" s="35"/>
      <c r="C8" s="35"/>
      <c r="D8" s="36"/>
      <c r="E8" s="35"/>
      <c r="F8" s="37"/>
    </row>
    <row r="9" ht="22" customHeight="1" spans="1:6">
      <c r="A9" s="38" t="s">
        <v>6</v>
      </c>
      <c r="B9" s="39">
        <f>Compact_Summary!F9</f>
        <v>77.8173560897509</v>
      </c>
      <c r="C9" s="39">
        <f>Compact_Summary!K9</f>
        <v>80.9971032133349</v>
      </c>
      <c r="D9" s="40">
        <f>Compact_Summary!M9</f>
        <v>3.17974712358399</v>
      </c>
      <c r="E9" s="35"/>
      <c r="F9" s="37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"/>
  <sheetViews>
    <sheetView showGridLines="0" tabSelected="1" topLeftCell="A9" workbookViewId="0">
      <selection activeCell="D31" sqref="D31"/>
    </sheetView>
  </sheetViews>
  <sheetFormatPr defaultColWidth="9" defaultRowHeight="14.5"/>
  <cols>
    <col min="1" max="4" width="12" customWidth="1"/>
    <col min="5" max="5" width="14" customWidth="1"/>
    <col min="6" max="6" width="15" customWidth="1"/>
    <col min="7" max="7" width="13" customWidth="1"/>
    <col min="8" max="8" width="14" customWidth="1"/>
    <col min="9" max="9" width="17" customWidth="1"/>
    <col min="10" max="14" width="12" customWidth="1"/>
    <col min="15" max="15" width="17" customWidth="1"/>
    <col min="16" max="16" width="16" customWidth="1"/>
    <col min="17" max="17" width="12" customWidth="1"/>
    <col min="18" max="20" width="13" customWidth="1"/>
  </cols>
  <sheetData>
    <row r="1" ht="18" customHeight="1" spans="1:20">
      <c r="A1" s="30" t="s">
        <v>7</v>
      </c>
      <c r="B1" s="30" t="s">
        <v>8</v>
      </c>
      <c r="C1" s="30" t="s">
        <v>9</v>
      </c>
      <c r="D1" s="30" t="s">
        <v>10</v>
      </c>
      <c r="E1" s="30" t="s">
        <v>11</v>
      </c>
      <c r="F1" s="30" t="s">
        <v>12</v>
      </c>
      <c r="G1" s="30" t="s">
        <v>13</v>
      </c>
      <c r="H1" s="30" t="s">
        <v>14</v>
      </c>
      <c r="I1" s="30" t="s">
        <v>15</v>
      </c>
      <c r="J1" s="30" t="s">
        <v>16</v>
      </c>
      <c r="K1" s="30" t="s">
        <v>17</v>
      </c>
      <c r="L1" s="30" t="s">
        <v>18</v>
      </c>
      <c r="M1" s="30" t="s">
        <v>19</v>
      </c>
      <c r="N1" s="30" t="s">
        <v>20</v>
      </c>
      <c r="O1" s="30" t="s">
        <v>21</v>
      </c>
      <c r="P1" s="30" t="s">
        <v>22</v>
      </c>
      <c r="Q1" s="30" t="s">
        <v>23</v>
      </c>
      <c r="R1" s="30" t="s">
        <v>24</v>
      </c>
      <c r="S1" s="30" t="s">
        <v>25</v>
      </c>
      <c r="T1" s="30" t="s">
        <v>26</v>
      </c>
    </row>
    <row r="2" ht="18" customHeight="1" spans="1:20">
      <c r="A2" s="28" t="s">
        <v>27</v>
      </c>
      <c r="B2" s="28">
        <v>0</v>
      </c>
      <c r="C2" s="28">
        <v>20260419</v>
      </c>
      <c r="D2" s="28"/>
      <c r="E2" s="28" t="s">
        <v>28</v>
      </c>
      <c r="F2" s="29">
        <v>1</v>
      </c>
      <c r="G2" s="29">
        <v>0.853333333333333</v>
      </c>
      <c r="H2" s="29">
        <v>0.776184726833685</v>
      </c>
      <c r="I2" s="29">
        <v>0.853333333333333</v>
      </c>
      <c r="J2" s="28">
        <v>4000</v>
      </c>
      <c r="K2" s="28">
        <v>64</v>
      </c>
      <c r="L2" s="29">
        <v>0.95</v>
      </c>
      <c r="M2" s="28" t="s">
        <v>29</v>
      </c>
      <c r="N2" s="29">
        <v>0.6</v>
      </c>
      <c r="O2" s="28" t="s">
        <v>30</v>
      </c>
      <c r="P2" s="28" t="s">
        <v>31</v>
      </c>
      <c r="Q2" s="28" t="s">
        <v>32</v>
      </c>
      <c r="R2" s="28" t="s">
        <v>33</v>
      </c>
      <c r="S2" s="28">
        <v>42</v>
      </c>
      <c r="T2" s="28" t="s">
        <v>34</v>
      </c>
    </row>
    <row r="3" ht="18" customHeight="1" spans="1:20">
      <c r="A3" s="28" t="s">
        <v>27</v>
      </c>
      <c r="B3" s="28">
        <v>1</v>
      </c>
      <c r="C3" s="28">
        <v>20260420</v>
      </c>
      <c r="D3" s="28"/>
      <c r="E3" s="28" t="s">
        <v>28</v>
      </c>
      <c r="F3" s="29">
        <v>1</v>
      </c>
      <c r="G3" s="29">
        <v>0.866666666666667</v>
      </c>
      <c r="H3" s="29">
        <v>0.804859643827347</v>
      </c>
      <c r="I3" s="29">
        <v>0.866666666666667</v>
      </c>
      <c r="J3" s="28">
        <v>4000</v>
      </c>
      <c r="K3" s="28">
        <v>64</v>
      </c>
      <c r="L3" s="29">
        <v>0.95</v>
      </c>
      <c r="M3" s="28" t="s">
        <v>35</v>
      </c>
      <c r="N3" s="29">
        <v>0.4</v>
      </c>
      <c r="O3" s="28" t="s">
        <v>30</v>
      </c>
      <c r="P3" s="28" t="s">
        <v>31</v>
      </c>
      <c r="Q3" s="28" t="s">
        <v>32</v>
      </c>
      <c r="R3" s="28" t="s">
        <v>33</v>
      </c>
      <c r="S3" s="28">
        <v>43</v>
      </c>
      <c r="T3" s="28" t="s">
        <v>34</v>
      </c>
    </row>
    <row r="4" ht="18" customHeight="1" spans="1:20">
      <c r="A4" s="28" t="s">
        <v>27</v>
      </c>
      <c r="B4" s="28">
        <v>2</v>
      </c>
      <c r="C4" s="28">
        <v>20260421</v>
      </c>
      <c r="D4" s="28"/>
      <c r="E4" s="28" t="s">
        <v>28</v>
      </c>
      <c r="F4" s="29">
        <v>1</v>
      </c>
      <c r="G4" s="29">
        <v>0.843333333333333</v>
      </c>
      <c r="H4" s="29">
        <v>0.774147298520978</v>
      </c>
      <c r="I4" s="29">
        <v>0.843333333333333</v>
      </c>
      <c r="J4" s="28">
        <v>4000</v>
      </c>
      <c r="K4" s="28">
        <v>64</v>
      </c>
      <c r="L4" s="29">
        <v>0.99</v>
      </c>
      <c r="M4" s="28" t="s">
        <v>29</v>
      </c>
      <c r="N4" s="29">
        <v>0.6</v>
      </c>
      <c r="O4" s="28" t="s">
        <v>30</v>
      </c>
      <c r="P4" s="28" t="s">
        <v>31</v>
      </c>
      <c r="Q4" s="28" t="s">
        <v>32</v>
      </c>
      <c r="R4" s="28" t="s">
        <v>33</v>
      </c>
      <c r="S4" s="28">
        <v>44</v>
      </c>
      <c r="T4" s="28" t="s">
        <v>34</v>
      </c>
    </row>
    <row r="5" ht="18" customHeight="1" spans="1:20">
      <c r="A5" s="28" t="s">
        <v>27</v>
      </c>
      <c r="B5" s="28">
        <v>3</v>
      </c>
      <c r="C5" s="28">
        <v>20260422</v>
      </c>
      <c r="D5" s="28"/>
      <c r="E5" s="28" t="s">
        <v>28</v>
      </c>
      <c r="F5" s="29">
        <v>1</v>
      </c>
      <c r="G5" s="29">
        <v>0.86</v>
      </c>
      <c r="H5" s="29">
        <v>0.796030787805614</v>
      </c>
      <c r="I5" s="29">
        <v>0.86</v>
      </c>
      <c r="J5" s="28">
        <v>4000</v>
      </c>
      <c r="K5" s="28">
        <v>64</v>
      </c>
      <c r="L5" s="29">
        <v>0.95</v>
      </c>
      <c r="M5" s="28" t="s">
        <v>35</v>
      </c>
      <c r="N5" s="29">
        <v>0.6</v>
      </c>
      <c r="O5" s="28" t="s">
        <v>30</v>
      </c>
      <c r="P5" s="28" t="s">
        <v>31</v>
      </c>
      <c r="Q5" s="28" t="s">
        <v>32</v>
      </c>
      <c r="R5" s="28" t="s">
        <v>33</v>
      </c>
      <c r="S5" s="28">
        <v>45</v>
      </c>
      <c r="T5" s="28" t="s">
        <v>34</v>
      </c>
    </row>
    <row r="6" ht="18" customHeight="1" spans="1:20">
      <c r="A6" s="28" t="s">
        <v>27</v>
      </c>
      <c r="B6" s="28">
        <v>4</v>
      </c>
      <c r="C6" s="28">
        <v>20260423</v>
      </c>
      <c r="D6" s="28"/>
      <c r="E6" s="28" t="s">
        <v>28</v>
      </c>
      <c r="F6" s="29">
        <v>1</v>
      </c>
      <c r="G6" s="29">
        <v>0.86</v>
      </c>
      <c r="H6" s="29">
        <v>0.790220344099004</v>
      </c>
      <c r="I6" s="29">
        <v>0.86</v>
      </c>
      <c r="J6" s="28">
        <v>4000</v>
      </c>
      <c r="K6" s="28">
        <v>64</v>
      </c>
      <c r="L6" s="29">
        <v>0.95</v>
      </c>
      <c r="M6" s="28" t="s">
        <v>35</v>
      </c>
      <c r="N6" s="29">
        <v>0.4</v>
      </c>
      <c r="O6" s="28" t="s">
        <v>30</v>
      </c>
      <c r="P6" s="28" t="s">
        <v>31</v>
      </c>
      <c r="Q6" s="28" t="s">
        <v>32</v>
      </c>
      <c r="R6" s="28" t="s">
        <v>33</v>
      </c>
      <c r="S6" s="28">
        <v>46</v>
      </c>
      <c r="T6" s="28" t="s">
        <v>34</v>
      </c>
    </row>
    <row r="7" ht="18" customHeight="1" spans="1:20">
      <c r="A7" s="28" t="s">
        <v>27</v>
      </c>
      <c r="B7" s="28">
        <v>5</v>
      </c>
      <c r="C7" s="28">
        <v>20260424</v>
      </c>
      <c r="D7" s="28"/>
      <c r="E7" s="28" t="s">
        <v>28</v>
      </c>
      <c r="F7" s="29">
        <v>1</v>
      </c>
      <c r="G7" s="29">
        <v>0.846666666666667</v>
      </c>
      <c r="H7" s="29">
        <v>0.790144883791126</v>
      </c>
      <c r="I7" s="29">
        <v>0.846666666666667</v>
      </c>
      <c r="J7" s="28">
        <v>4000</v>
      </c>
      <c r="K7" s="28">
        <v>64</v>
      </c>
      <c r="L7" s="29">
        <v>0.95</v>
      </c>
      <c r="M7" s="28" t="s">
        <v>35</v>
      </c>
      <c r="N7" s="29">
        <v>0.4</v>
      </c>
      <c r="O7" s="28" t="s">
        <v>30</v>
      </c>
      <c r="P7" s="28" t="s">
        <v>31</v>
      </c>
      <c r="Q7" s="28" t="s">
        <v>32</v>
      </c>
      <c r="R7" s="28" t="s">
        <v>33</v>
      </c>
      <c r="S7" s="28">
        <v>47</v>
      </c>
      <c r="T7" s="28" t="s">
        <v>34</v>
      </c>
    </row>
    <row r="8" ht="18" customHeight="1" spans="1:20">
      <c r="A8" s="28" t="s">
        <v>27</v>
      </c>
      <c r="B8" s="28">
        <v>6</v>
      </c>
      <c r="C8" s="28">
        <v>20260425</v>
      </c>
      <c r="D8" s="28"/>
      <c r="E8" s="28" t="s">
        <v>28</v>
      </c>
      <c r="F8" s="29">
        <v>1</v>
      </c>
      <c r="G8" s="29">
        <v>0.86</v>
      </c>
      <c r="H8" s="29">
        <v>0.787730153939028</v>
      </c>
      <c r="I8" s="29">
        <v>0.86</v>
      </c>
      <c r="J8" s="28">
        <v>4000</v>
      </c>
      <c r="K8" s="28">
        <v>64</v>
      </c>
      <c r="L8" s="29">
        <v>0.95</v>
      </c>
      <c r="M8" s="28" t="s">
        <v>35</v>
      </c>
      <c r="N8" s="29">
        <v>0.4</v>
      </c>
      <c r="O8" s="28" t="s">
        <v>30</v>
      </c>
      <c r="P8" s="28" t="s">
        <v>31</v>
      </c>
      <c r="Q8" s="28" t="s">
        <v>32</v>
      </c>
      <c r="R8" s="28" t="s">
        <v>33</v>
      </c>
      <c r="S8" s="28">
        <v>48</v>
      </c>
      <c r="T8" s="28" t="s">
        <v>34</v>
      </c>
    </row>
    <row r="9" ht="18" customHeight="1" spans="1:20">
      <c r="A9" s="28" t="s">
        <v>27</v>
      </c>
      <c r="B9" s="28">
        <v>7</v>
      </c>
      <c r="C9" s="28">
        <v>20260426</v>
      </c>
      <c r="D9" s="28"/>
      <c r="E9" s="28" t="s">
        <v>28</v>
      </c>
      <c r="F9" s="29">
        <v>1</v>
      </c>
      <c r="G9" s="29">
        <v>0.853333333333333</v>
      </c>
      <c r="H9" s="29">
        <v>0.801162088741322</v>
      </c>
      <c r="I9" s="29">
        <v>0.853333333333333</v>
      </c>
      <c r="J9" s="28">
        <v>4000</v>
      </c>
      <c r="K9" s="28">
        <v>64</v>
      </c>
      <c r="L9" s="29">
        <v>0.95</v>
      </c>
      <c r="M9" s="28" t="s">
        <v>35</v>
      </c>
      <c r="N9" s="29">
        <v>0.4</v>
      </c>
      <c r="O9" s="28" t="s">
        <v>30</v>
      </c>
      <c r="P9" s="28" t="s">
        <v>31</v>
      </c>
      <c r="Q9" s="28" t="s">
        <v>32</v>
      </c>
      <c r="R9" s="28" t="s">
        <v>33</v>
      </c>
      <c r="S9" s="28">
        <v>49</v>
      </c>
      <c r="T9" s="28" t="s">
        <v>34</v>
      </c>
    </row>
    <row r="10" ht="18" customHeight="1" spans="1:20">
      <c r="A10" s="28" t="s">
        <v>27</v>
      </c>
      <c r="B10" s="28">
        <v>8</v>
      </c>
      <c r="C10" s="28">
        <v>20260427</v>
      </c>
      <c r="D10" s="28"/>
      <c r="E10" s="28" t="s">
        <v>28</v>
      </c>
      <c r="F10" s="29">
        <v>1</v>
      </c>
      <c r="G10" s="29">
        <v>0.873333333333333</v>
      </c>
      <c r="H10" s="29">
        <v>0.77210987020827</v>
      </c>
      <c r="I10" s="29">
        <v>0.873333333333333</v>
      </c>
      <c r="J10" s="28">
        <v>4000</v>
      </c>
      <c r="K10" s="28">
        <v>64</v>
      </c>
      <c r="L10" s="29">
        <v>0.95</v>
      </c>
      <c r="M10" s="28" t="s">
        <v>35</v>
      </c>
      <c r="N10" s="29">
        <v>0.6</v>
      </c>
      <c r="O10" s="28" t="s">
        <v>30</v>
      </c>
      <c r="P10" s="28" t="s">
        <v>31</v>
      </c>
      <c r="Q10" s="28" t="s">
        <v>32</v>
      </c>
      <c r="R10" s="28" t="s">
        <v>33</v>
      </c>
      <c r="S10" s="28">
        <v>50</v>
      </c>
      <c r="T10" s="28" t="s">
        <v>34</v>
      </c>
    </row>
    <row r="11" ht="18" customHeight="1" spans="1:20">
      <c r="A11" s="28" t="s">
        <v>27</v>
      </c>
      <c r="B11" s="28">
        <v>9</v>
      </c>
      <c r="C11" s="28">
        <v>20260428</v>
      </c>
      <c r="D11" s="28"/>
      <c r="E11" s="28" t="s">
        <v>28</v>
      </c>
      <c r="F11" s="29">
        <v>1</v>
      </c>
      <c r="G11" s="29">
        <v>0.83</v>
      </c>
      <c r="H11" s="29">
        <v>0.778373075762149</v>
      </c>
      <c r="I11" s="29">
        <v>0.83</v>
      </c>
      <c r="J11" s="28">
        <v>4000</v>
      </c>
      <c r="K11" s="28">
        <v>64</v>
      </c>
      <c r="L11" s="29">
        <v>0.95</v>
      </c>
      <c r="M11" s="28" t="s">
        <v>35</v>
      </c>
      <c r="N11" s="29">
        <v>0.6</v>
      </c>
      <c r="O11" s="28" t="s">
        <v>30</v>
      </c>
      <c r="P11" s="28" t="s">
        <v>31</v>
      </c>
      <c r="Q11" s="28" t="s">
        <v>32</v>
      </c>
      <c r="R11" s="28" t="s">
        <v>33</v>
      </c>
      <c r="S11" s="28">
        <v>51</v>
      </c>
      <c r="T11" s="28" t="s">
        <v>34</v>
      </c>
    </row>
    <row r="12" ht="18" customHeight="1" spans="1:20">
      <c r="A12" s="28" t="s">
        <v>36</v>
      </c>
      <c r="B12" s="28">
        <v>0</v>
      </c>
      <c r="C12" s="28">
        <v>20260419</v>
      </c>
      <c r="D12" s="28"/>
      <c r="E12" s="28" t="s">
        <v>28</v>
      </c>
      <c r="F12" s="29">
        <v>1</v>
      </c>
      <c r="G12" s="29">
        <v>0.925</v>
      </c>
      <c r="H12" s="29">
        <v>0.886758620689655</v>
      </c>
      <c r="I12" s="29">
        <v>0.925</v>
      </c>
      <c r="J12" s="28">
        <v>4000</v>
      </c>
      <c r="K12" s="28">
        <v>32</v>
      </c>
      <c r="L12" s="29">
        <v>0.9</v>
      </c>
      <c r="M12" s="28" t="s">
        <v>35</v>
      </c>
      <c r="N12" s="29">
        <v>0.4</v>
      </c>
      <c r="O12" s="28" t="s">
        <v>30</v>
      </c>
      <c r="P12" s="28" t="s">
        <v>31</v>
      </c>
      <c r="Q12" s="28" t="s">
        <v>37</v>
      </c>
      <c r="R12" s="28" t="s">
        <v>33</v>
      </c>
      <c r="S12" s="28">
        <v>32</v>
      </c>
      <c r="T12" s="28" t="s">
        <v>34</v>
      </c>
    </row>
    <row r="13" ht="18" customHeight="1" spans="1:20">
      <c r="A13" s="28" t="s">
        <v>36</v>
      </c>
      <c r="B13" s="28">
        <v>1</v>
      </c>
      <c r="C13" s="28">
        <v>20260420</v>
      </c>
      <c r="D13" s="28"/>
      <c r="E13" s="28" t="s">
        <v>28</v>
      </c>
      <c r="F13" s="29">
        <v>1</v>
      </c>
      <c r="G13" s="29">
        <v>0.945833333333333</v>
      </c>
      <c r="H13" s="29">
        <v>0.889793103448276</v>
      </c>
      <c r="I13" s="29">
        <v>0.945833333333333</v>
      </c>
      <c r="J13" s="28">
        <v>4000</v>
      </c>
      <c r="K13" s="28">
        <v>32</v>
      </c>
      <c r="L13" s="29">
        <v>0.9</v>
      </c>
      <c r="M13" s="28" t="s">
        <v>35</v>
      </c>
      <c r="N13" s="29">
        <v>0.7</v>
      </c>
      <c r="O13" s="28" t="s">
        <v>30</v>
      </c>
      <c r="P13" s="28" t="s">
        <v>31</v>
      </c>
      <c r="Q13" s="28" t="s">
        <v>37</v>
      </c>
      <c r="R13" s="28" t="s">
        <v>33</v>
      </c>
      <c r="S13" s="28">
        <v>33</v>
      </c>
      <c r="T13" s="28" t="s">
        <v>34</v>
      </c>
    </row>
    <row r="14" ht="18" customHeight="1" spans="1:20">
      <c r="A14" s="28" t="s">
        <v>36</v>
      </c>
      <c r="B14" s="28">
        <v>2</v>
      </c>
      <c r="C14" s="28">
        <v>20260421</v>
      </c>
      <c r="D14" s="28"/>
      <c r="E14" s="28" t="s">
        <v>28</v>
      </c>
      <c r="F14" s="29">
        <v>1</v>
      </c>
      <c r="G14" s="29">
        <v>0.9</v>
      </c>
      <c r="H14" s="29">
        <v>0.856827586206897</v>
      </c>
      <c r="I14" s="29">
        <v>0.9</v>
      </c>
      <c r="J14" s="28">
        <v>4000</v>
      </c>
      <c r="K14" s="28">
        <v>32</v>
      </c>
      <c r="L14" s="29">
        <v>0.9</v>
      </c>
      <c r="M14" s="28" t="s">
        <v>29</v>
      </c>
      <c r="N14" s="29">
        <v>0.6</v>
      </c>
      <c r="O14" s="28" t="s">
        <v>30</v>
      </c>
      <c r="P14" s="28" t="s">
        <v>31</v>
      </c>
      <c r="Q14" s="28" t="s">
        <v>37</v>
      </c>
      <c r="R14" s="28" t="s">
        <v>33</v>
      </c>
      <c r="S14" s="28">
        <v>34</v>
      </c>
      <c r="T14" s="28" t="s">
        <v>34</v>
      </c>
    </row>
    <row r="15" ht="18" customHeight="1" spans="1:20">
      <c r="A15" s="28" t="s">
        <v>36</v>
      </c>
      <c r="B15" s="28">
        <v>3</v>
      </c>
      <c r="C15" s="28">
        <v>20260422</v>
      </c>
      <c r="D15" s="28"/>
      <c r="E15" s="28" t="s">
        <v>28</v>
      </c>
      <c r="F15" s="29">
        <v>1</v>
      </c>
      <c r="G15" s="29">
        <v>0.891666666666667</v>
      </c>
      <c r="H15" s="29">
        <v>0.899586206896552</v>
      </c>
      <c r="I15" s="29">
        <v>0.891666666666667</v>
      </c>
      <c r="J15" s="28">
        <v>4000</v>
      </c>
      <c r="K15" s="28">
        <v>32</v>
      </c>
      <c r="L15" s="29">
        <v>0.9</v>
      </c>
      <c r="M15" s="28" t="s">
        <v>35</v>
      </c>
      <c r="N15" s="29">
        <v>0.8</v>
      </c>
      <c r="O15" s="28" t="s">
        <v>30</v>
      </c>
      <c r="P15" s="28" t="s">
        <v>31</v>
      </c>
      <c r="Q15" s="28" t="s">
        <v>37</v>
      </c>
      <c r="R15" s="28" t="s">
        <v>33</v>
      </c>
      <c r="S15" s="28">
        <v>35</v>
      </c>
      <c r="T15" s="28" t="s">
        <v>34</v>
      </c>
    </row>
    <row r="16" ht="18" customHeight="1" spans="1:20">
      <c r="A16" s="28" t="s">
        <v>36</v>
      </c>
      <c r="B16" s="28">
        <v>4</v>
      </c>
      <c r="C16" s="28">
        <v>20260423</v>
      </c>
      <c r="D16" s="28"/>
      <c r="E16" s="28" t="s">
        <v>28</v>
      </c>
      <c r="F16" s="29">
        <v>1</v>
      </c>
      <c r="G16" s="29">
        <v>0.9125</v>
      </c>
      <c r="H16" s="29">
        <v>0.894896551724138</v>
      </c>
      <c r="I16" s="29">
        <v>0.9125</v>
      </c>
      <c r="J16" s="28">
        <v>4000</v>
      </c>
      <c r="K16" s="28">
        <v>32</v>
      </c>
      <c r="L16" s="29">
        <v>0.9</v>
      </c>
      <c r="M16" s="28" t="s">
        <v>38</v>
      </c>
      <c r="N16" s="29">
        <v>0.7</v>
      </c>
      <c r="O16" s="28" t="s">
        <v>30</v>
      </c>
      <c r="P16" s="28" t="s">
        <v>31</v>
      </c>
      <c r="Q16" s="28" t="s">
        <v>37</v>
      </c>
      <c r="R16" s="28" t="s">
        <v>33</v>
      </c>
      <c r="S16" s="28">
        <v>36</v>
      </c>
      <c r="T16" s="28" t="s">
        <v>34</v>
      </c>
    </row>
    <row r="17" ht="18" customHeight="1" spans="1:20">
      <c r="A17" s="28" t="s">
        <v>36</v>
      </c>
      <c r="B17" s="28">
        <v>5</v>
      </c>
      <c r="C17" s="28">
        <v>20260424</v>
      </c>
      <c r="D17" s="28"/>
      <c r="E17" s="28" t="s">
        <v>28</v>
      </c>
      <c r="F17" s="29">
        <v>1</v>
      </c>
      <c r="G17" s="29">
        <v>0.945833333333333</v>
      </c>
      <c r="H17" s="29">
        <v>0.894758620689655</v>
      </c>
      <c r="I17" s="29">
        <v>0.945833333333333</v>
      </c>
      <c r="J17" s="28">
        <v>5000</v>
      </c>
      <c r="K17" s="28">
        <v>32</v>
      </c>
      <c r="L17" s="29">
        <v>0.9</v>
      </c>
      <c r="M17" s="28" t="s">
        <v>35</v>
      </c>
      <c r="N17" s="29">
        <v>0.6</v>
      </c>
      <c r="O17" s="28" t="s">
        <v>30</v>
      </c>
      <c r="P17" s="28" t="s">
        <v>31</v>
      </c>
      <c r="Q17" s="28" t="s">
        <v>37</v>
      </c>
      <c r="R17" s="28" t="s">
        <v>33</v>
      </c>
      <c r="S17" s="28">
        <v>37</v>
      </c>
      <c r="T17" s="28" t="s">
        <v>34</v>
      </c>
    </row>
    <row r="18" ht="18" customHeight="1" spans="1:20">
      <c r="A18" s="28" t="s">
        <v>36</v>
      </c>
      <c r="B18" s="28">
        <v>6</v>
      </c>
      <c r="C18" s="28">
        <v>20260425</v>
      </c>
      <c r="D18" s="28"/>
      <c r="E18" s="28" t="s">
        <v>28</v>
      </c>
      <c r="F18" s="29">
        <v>1</v>
      </c>
      <c r="G18" s="29">
        <v>0.891666666666667</v>
      </c>
      <c r="H18" s="29">
        <v>0.886068965517241</v>
      </c>
      <c r="I18" s="29">
        <v>0.891666666666667</v>
      </c>
      <c r="J18" s="28">
        <v>4000</v>
      </c>
      <c r="K18" s="28">
        <v>32</v>
      </c>
      <c r="L18" s="29">
        <v>0.9</v>
      </c>
      <c r="M18" s="28" t="s">
        <v>35</v>
      </c>
      <c r="N18" s="29">
        <v>0.5</v>
      </c>
      <c r="O18" s="28" t="s">
        <v>30</v>
      </c>
      <c r="P18" s="28" t="s">
        <v>31</v>
      </c>
      <c r="Q18" s="28" t="s">
        <v>37</v>
      </c>
      <c r="R18" s="28" t="s">
        <v>33</v>
      </c>
      <c r="S18" s="28">
        <v>38</v>
      </c>
      <c r="T18" s="28" t="s">
        <v>34</v>
      </c>
    </row>
    <row r="19" ht="18" customHeight="1" spans="1:20">
      <c r="A19" s="28" t="s">
        <v>36</v>
      </c>
      <c r="B19" s="28">
        <v>7</v>
      </c>
      <c r="C19" s="28">
        <v>20260426</v>
      </c>
      <c r="D19" s="28"/>
      <c r="E19" s="28" t="s">
        <v>28</v>
      </c>
      <c r="F19" s="29">
        <v>1</v>
      </c>
      <c r="G19" s="29">
        <v>0.933333333333333</v>
      </c>
      <c r="H19" s="29">
        <v>0.878068965517241</v>
      </c>
      <c r="I19" s="29">
        <v>0.933333333333333</v>
      </c>
      <c r="J19" s="28">
        <v>4000</v>
      </c>
      <c r="K19" s="28">
        <v>32</v>
      </c>
      <c r="L19" s="29">
        <v>0.95</v>
      </c>
      <c r="M19" s="28" t="s">
        <v>35</v>
      </c>
      <c r="N19" s="29">
        <v>0.3</v>
      </c>
      <c r="O19" s="28" t="s">
        <v>30</v>
      </c>
      <c r="P19" s="28" t="s">
        <v>31</v>
      </c>
      <c r="Q19" s="28" t="s">
        <v>37</v>
      </c>
      <c r="R19" s="28" t="s">
        <v>33</v>
      </c>
      <c r="S19" s="28">
        <v>39</v>
      </c>
      <c r="T19" s="28" t="s">
        <v>34</v>
      </c>
    </row>
    <row r="20" ht="18" customHeight="1" spans="1:20">
      <c r="A20" s="28" t="s">
        <v>36</v>
      </c>
      <c r="B20" s="28">
        <v>8</v>
      </c>
      <c r="C20" s="28">
        <v>20260427</v>
      </c>
      <c r="D20" s="28"/>
      <c r="E20" s="28" t="s">
        <v>28</v>
      </c>
      <c r="F20" s="29">
        <v>1</v>
      </c>
      <c r="G20" s="29">
        <v>0.929166666666667</v>
      </c>
      <c r="H20" s="29">
        <v>0.905931034482759</v>
      </c>
      <c r="I20" s="29">
        <v>0.929166666666667</v>
      </c>
      <c r="J20" s="28">
        <v>4000</v>
      </c>
      <c r="K20" s="28">
        <v>32</v>
      </c>
      <c r="L20" s="29">
        <v>0.9</v>
      </c>
      <c r="M20" s="28" t="s">
        <v>35</v>
      </c>
      <c r="N20" s="29">
        <v>0.5</v>
      </c>
      <c r="O20" s="28" t="s">
        <v>30</v>
      </c>
      <c r="P20" s="28" t="s">
        <v>31</v>
      </c>
      <c r="Q20" s="28" t="s">
        <v>37</v>
      </c>
      <c r="R20" s="28" t="s">
        <v>33</v>
      </c>
      <c r="S20" s="28">
        <v>40</v>
      </c>
      <c r="T20" s="28" t="s">
        <v>34</v>
      </c>
    </row>
    <row r="21" ht="18" customHeight="1" spans="1:20">
      <c r="A21" s="28" t="s">
        <v>36</v>
      </c>
      <c r="B21" s="28">
        <v>9</v>
      </c>
      <c r="C21" s="28">
        <v>20260428</v>
      </c>
      <c r="D21" s="28"/>
      <c r="E21" s="28" t="s">
        <v>28</v>
      </c>
      <c r="F21" s="29">
        <v>1</v>
      </c>
      <c r="G21" s="29">
        <v>0.891666666666667</v>
      </c>
      <c r="H21" s="29">
        <v>0.883310344827586</v>
      </c>
      <c r="I21" s="29">
        <v>0.891666666666667</v>
      </c>
      <c r="J21" s="28">
        <v>5000</v>
      </c>
      <c r="K21" s="28">
        <v>32</v>
      </c>
      <c r="L21" s="29">
        <v>0.9</v>
      </c>
      <c r="M21" s="28" t="s">
        <v>35</v>
      </c>
      <c r="N21" s="29">
        <v>0.4</v>
      </c>
      <c r="O21" s="28" t="s">
        <v>30</v>
      </c>
      <c r="P21" s="28" t="s">
        <v>31</v>
      </c>
      <c r="Q21" s="28" t="s">
        <v>37</v>
      </c>
      <c r="R21" s="28" t="s">
        <v>33</v>
      </c>
      <c r="S21" s="28">
        <v>41</v>
      </c>
      <c r="T21" s="28" t="s">
        <v>34</v>
      </c>
    </row>
    <row r="22" ht="18" customHeight="1" spans="1:20">
      <c r="A22" s="28" t="s">
        <v>39</v>
      </c>
      <c r="B22" s="28">
        <v>0</v>
      </c>
      <c r="C22" s="28">
        <v>0</v>
      </c>
      <c r="D22" s="28"/>
      <c r="E22" s="28" t="s">
        <v>40</v>
      </c>
      <c r="F22" s="29">
        <v>0.98992673992674</v>
      </c>
      <c r="G22" s="29">
        <v>0.739368998628258</v>
      </c>
      <c r="H22" s="29">
        <v>0.725877192982456</v>
      </c>
      <c r="I22" s="29">
        <v>0.738820270983192</v>
      </c>
      <c r="J22" s="28">
        <v>8000</v>
      </c>
      <c r="K22" s="28">
        <v>96</v>
      </c>
      <c r="L22" s="29">
        <v>0.95</v>
      </c>
      <c r="M22" s="28" t="s">
        <v>35</v>
      </c>
      <c r="N22" s="29">
        <v>0.6</v>
      </c>
      <c r="O22" s="28" t="s">
        <v>30</v>
      </c>
      <c r="P22" s="28" t="s">
        <v>31</v>
      </c>
      <c r="Q22" s="28" t="s">
        <v>41</v>
      </c>
      <c r="R22" s="28" t="s">
        <v>42</v>
      </c>
      <c r="S22" s="28">
        <v>2</v>
      </c>
      <c r="T22" s="28" t="s">
        <v>43</v>
      </c>
    </row>
    <row r="23" ht="18" customHeight="1" spans="1:20">
      <c r="A23" s="28" t="s">
        <v>39</v>
      </c>
      <c r="B23" s="28">
        <v>1</v>
      </c>
      <c r="C23" s="28">
        <v>1</v>
      </c>
      <c r="D23" s="28"/>
      <c r="E23" s="28" t="s">
        <v>44</v>
      </c>
      <c r="F23" s="29">
        <v>0.984432234432234</v>
      </c>
      <c r="G23" s="29">
        <v>0.705075445816187</v>
      </c>
      <c r="H23" s="29">
        <v>0.763157894736842</v>
      </c>
      <c r="I23" s="29">
        <v>0.703316679354199</v>
      </c>
      <c r="J23" s="28">
        <v>8000</v>
      </c>
      <c r="K23" s="28">
        <v>64</v>
      </c>
      <c r="L23" s="29">
        <v>0.9</v>
      </c>
      <c r="M23" s="28" t="s">
        <v>35</v>
      </c>
      <c r="N23" s="29">
        <v>0.6</v>
      </c>
      <c r="O23" s="28" t="s">
        <v>30</v>
      </c>
      <c r="P23" s="28" t="s">
        <v>31</v>
      </c>
      <c r="Q23" s="28" t="s">
        <v>41</v>
      </c>
      <c r="R23" s="28" t="s">
        <v>42</v>
      </c>
      <c r="S23" s="28">
        <v>3</v>
      </c>
      <c r="T23" s="28" t="s">
        <v>43</v>
      </c>
    </row>
    <row r="24" ht="18" customHeight="1" spans="1:20">
      <c r="A24" s="28" t="s">
        <v>39</v>
      </c>
      <c r="B24" s="28">
        <v>2</v>
      </c>
      <c r="C24" s="28">
        <v>2</v>
      </c>
      <c r="D24" s="28"/>
      <c r="E24" s="28" t="s">
        <v>45</v>
      </c>
      <c r="F24" s="29">
        <v>0.991758241758242</v>
      </c>
      <c r="G24" s="29">
        <v>0.739368998628258</v>
      </c>
      <c r="H24" s="29">
        <v>0.703947368421053</v>
      </c>
      <c r="I24" s="29">
        <v>0.747503907942309</v>
      </c>
      <c r="J24" s="28">
        <v>8000</v>
      </c>
      <c r="K24" s="28">
        <v>96</v>
      </c>
      <c r="L24" s="29">
        <v>0.99</v>
      </c>
      <c r="M24" s="28" t="s">
        <v>35</v>
      </c>
      <c r="N24" s="29">
        <v>0.5</v>
      </c>
      <c r="O24" s="28" t="s">
        <v>30</v>
      </c>
      <c r="P24" s="28" t="s">
        <v>31</v>
      </c>
      <c r="Q24" s="28" t="s">
        <v>41</v>
      </c>
      <c r="R24" s="28" t="s">
        <v>42</v>
      </c>
      <c r="S24" s="28">
        <v>4</v>
      </c>
      <c r="T24" s="28" t="s">
        <v>43</v>
      </c>
    </row>
    <row r="25" ht="18" customHeight="1" spans="1:20">
      <c r="A25" s="28" t="s">
        <v>39</v>
      </c>
      <c r="B25" s="28">
        <v>3</v>
      </c>
      <c r="C25" s="28">
        <v>3</v>
      </c>
      <c r="D25" s="28"/>
      <c r="E25" s="28" t="s">
        <v>46</v>
      </c>
      <c r="F25" s="29">
        <v>0.963369963369963</v>
      </c>
      <c r="G25" s="29">
        <v>0.750342935528121</v>
      </c>
      <c r="H25" s="29">
        <v>0.710526315789474</v>
      </c>
      <c r="I25" s="29">
        <v>0.751133565221641</v>
      </c>
      <c r="J25" s="28">
        <v>4000</v>
      </c>
      <c r="K25" s="28">
        <v>64</v>
      </c>
      <c r="L25" s="29">
        <v>0.95</v>
      </c>
      <c r="M25" s="28" t="s">
        <v>35</v>
      </c>
      <c r="N25" s="29">
        <v>0.6</v>
      </c>
      <c r="O25" s="28" t="s">
        <v>30</v>
      </c>
      <c r="P25" s="28" t="s">
        <v>31</v>
      </c>
      <c r="Q25" s="28" t="s">
        <v>41</v>
      </c>
      <c r="R25" s="28" t="s">
        <v>42</v>
      </c>
      <c r="S25" s="28">
        <v>5</v>
      </c>
      <c r="T25" s="28" t="s">
        <v>43</v>
      </c>
    </row>
    <row r="26" ht="18" customHeight="1" spans="1:20">
      <c r="A26" s="28" t="s">
        <v>39</v>
      </c>
      <c r="B26" s="28">
        <v>4</v>
      </c>
      <c r="C26" s="28">
        <v>4</v>
      </c>
      <c r="D26" s="28"/>
      <c r="E26" s="28" t="s">
        <v>47</v>
      </c>
      <c r="F26" s="29">
        <v>0.980769230769231</v>
      </c>
      <c r="G26" s="29">
        <v>0.751714677640604</v>
      </c>
      <c r="H26" s="29">
        <v>0.743421052631579</v>
      </c>
      <c r="I26" s="29">
        <v>0.754423071605447</v>
      </c>
      <c r="J26" s="28">
        <v>6000</v>
      </c>
      <c r="K26" s="28">
        <v>48</v>
      </c>
      <c r="L26" s="29">
        <v>0.9</v>
      </c>
      <c r="M26" s="28" t="s">
        <v>35</v>
      </c>
      <c r="N26" s="29">
        <v>0.5</v>
      </c>
      <c r="O26" s="28" t="s">
        <v>30</v>
      </c>
      <c r="P26" s="28" t="s">
        <v>31</v>
      </c>
      <c r="Q26" s="28" t="s">
        <v>41</v>
      </c>
      <c r="R26" s="28" t="s">
        <v>42</v>
      </c>
      <c r="S26" s="28">
        <v>6</v>
      </c>
      <c r="T26" s="28" t="s">
        <v>43</v>
      </c>
    </row>
    <row r="27" ht="18" customHeight="1" spans="1:20">
      <c r="A27" s="28" t="s">
        <v>39</v>
      </c>
      <c r="B27" s="28">
        <v>5</v>
      </c>
      <c r="C27" s="28">
        <v>5</v>
      </c>
      <c r="D27" s="28"/>
      <c r="E27" s="28" t="s">
        <v>48</v>
      </c>
      <c r="F27" s="29">
        <v>0.945054945054945</v>
      </c>
      <c r="G27" s="29">
        <v>0.732510288065844</v>
      </c>
      <c r="H27" s="29">
        <v>0.734649122807018</v>
      </c>
      <c r="I27" s="29">
        <v>0.733804210544653</v>
      </c>
      <c r="J27" s="28">
        <v>5000</v>
      </c>
      <c r="K27" s="28">
        <v>64</v>
      </c>
      <c r="L27" s="29">
        <v>0.9</v>
      </c>
      <c r="M27" s="28" t="s">
        <v>35</v>
      </c>
      <c r="N27" s="29">
        <v>0.8</v>
      </c>
      <c r="O27" s="28" t="s">
        <v>30</v>
      </c>
      <c r="P27" s="28" t="s">
        <v>31</v>
      </c>
      <c r="Q27" s="28" t="s">
        <v>41</v>
      </c>
      <c r="R27" s="28" t="s">
        <v>42</v>
      </c>
      <c r="S27" s="28">
        <v>7</v>
      </c>
      <c r="T27" s="28" t="s">
        <v>43</v>
      </c>
    </row>
    <row r="28" ht="18" customHeight="1" spans="1:20">
      <c r="A28" s="28" t="s">
        <v>39</v>
      </c>
      <c r="B28" s="28">
        <v>6</v>
      </c>
      <c r="C28" s="28">
        <v>6</v>
      </c>
      <c r="D28" s="28"/>
      <c r="E28" s="28" t="s">
        <v>49</v>
      </c>
      <c r="F28" s="29">
        <v>0.960622710622711</v>
      </c>
      <c r="G28" s="29">
        <v>0.710562414266118</v>
      </c>
      <c r="H28" s="29">
        <v>0.706140350877193</v>
      </c>
      <c r="I28" s="29">
        <v>0.709207662937387</v>
      </c>
      <c r="J28" s="28">
        <v>8000</v>
      </c>
      <c r="K28" s="28">
        <v>96</v>
      </c>
      <c r="L28" s="29">
        <v>0.95</v>
      </c>
      <c r="M28" s="28" t="s">
        <v>38</v>
      </c>
      <c r="N28" s="29">
        <v>0.7</v>
      </c>
      <c r="O28" s="28" t="s">
        <v>30</v>
      </c>
      <c r="P28" s="28" t="s">
        <v>31</v>
      </c>
      <c r="Q28" s="28" t="s">
        <v>41</v>
      </c>
      <c r="R28" s="28" t="s">
        <v>42</v>
      </c>
      <c r="S28" s="28">
        <v>8</v>
      </c>
      <c r="T28" s="28" t="s">
        <v>43</v>
      </c>
    </row>
    <row r="29" ht="18" customHeight="1" spans="1:20">
      <c r="A29" s="28" t="s">
        <v>39</v>
      </c>
      <c r="B29" s="28">
        <v>7</v>
      </c>
      <c r="C29" s="28">
        <v>7</v>
      </c>
      <c r="D29" s="28"/>
      <c r="E29" s="28" t="s">
        <v>50</v>
      </c>
      <c r="F29" s="29">
        <v>0.995421245421245</v>
      </c>
      <c r="G29" s="29">
        <v>0.679012345679012</v>
      </c>
      <c r="H29" s="29">
        <v>0.712719298245614</v>
      </c>
      <c r="I29" s="29">
        <v>0.679908578977675</v>
      </c>
      <c r="J29" s="28">
        <v>8000</v>
      </c>
      <c r="K29" s="28">
        <v>96</v>
      </c>
      <c r="L29" s="29">
        <v>0.99</v>
      </c>
      <c r="M29" s="28" t="s">
        <v>35</v>
      </c>
      <c r="N29" s="29">
        <v>0.6</v>
      </c>
      <c r="O29" s="28" t="s">
        <v>30</v>
      </c>
      <c r="P29" s="28" t="s">
        <v>31</v>
      </c>
      <c r="Q29" s="28" t="s">
        <v>41</v>
      </c>
      <c r="R29" s="28" t="s">
        <v>42</v>
      </c>
      <c r="S29" s="28">
        <v>9</v>
      </c>
      <c r="T29" s="28" t="s">
        <v>43</v>
      </c>
    </row>
    <row r="30" ht="18" customHeight="1" spans="1:20">
      <c r="A30" s="28" t="s">
        <v>39</v>
      </c>
      <c r="B30" s="28">
        <v>8</v>
      </c>
      <c r="C30" s="28">
        <v>8</v>
      </c>
      <c r="D30" s="28"/>
      <c r="E30" s="28" t="s">
        <v>51</v>
      </c>
      <c r="F30" s="29">
        <v>0.987179487179487</v>
      </c>
      <c r="G30" s="29">
        <v>0.733882030178326</v>
      </c>
      <c r="H30" s="29">
        <v>0.719298245614035</v>
      </c>
      <c r="I30" s="29">
        <v>0.734577939555686</v>
      </c>
      <c r="J30" s="28">
        <v>8000</v>
      </c>
      <c r="K30" s="28">
        <v>64</v>
      </c>
      <c r="L30" s="29">
        <v>0.9</v>
      </c>
      <c r="M30" s="28" t="s">
        <v>35</v>
      </c>
      <c r="N30" s="29">
        <v>0.3</v>
      </c>
      <c r="O30" s="28" t="s">
        <v>30</v>
      </c>
      <c r="P30" s="28" t="s">
        <v>31</v>
      </c>
      <c r="Q30" s="28" t="s">
        <v>41</v>
      </c>
      <c r="R30" s="28" t="s">
        <v>42</v>
      </c>
      <c r="S30" s="28">
        <v>10</v>
      </c>
      <c r="T30" s="28" t="s">
        <v>43</v>
      </c>
    </row>
    <row r="31" ht="18" customHeight="1" spans="1:20">
      <c r="A31" s="28" t="s">
        <v>39</v>
      </c>
      <c r="B31" s="28">
        <v>9</v>
      </c>
      <c r="C31" s="28">
        <v>9</v>
      </c>
      <c r="D31" s="28"/>
      <c r="E31" s="28" t="s">
        <v>52</v>
      </c>
      <c r="F31" s="29">
        <v>0.977106227106227</v>
      </c>
      <c r="G31" s="29">
        <v>0.737997256515775</v>
      </c>
      <c r="H31" s="29">
        <v>0.728070175438597</v>
      </c>
      <c r="I31" s="29">
        <v>0.740091050777255</v>
      </c>
      <c r="J31" s="28">
        <v>8000</v>
      </c>
      <c r="K31" s="28">
        <v>32</v>
      </c>
      <c r="L31" s="29">
        <v>0.9</v>
      </c>
      <c r="M31" s="28" t="s">
        <v>35</v>
      </c>
      <c r="N31" s="29">
        <v>0.6</v>
      </c>
      <c r="O31" s="28" t="s">
        <v>30</v>
      </c>
      <c r="P31" s="28" t="s">
        <v>31</v>
      </c>
      <c r="Q31" s="28" t="s">
        <v>41</v>
      </c>
      <c r="R31" s="28" t="s">
        <v>42</v>
      </c>
      <c r="S31" s="28">
        <v>11</v>
      </c>
      <c r="T31" s="28" t="s">
        <v>43</v>
      </c>
    </row>
    <row r="32" ht="18" customHeight="1" spans="1:20">
      <c r="A32" s="28" t="s">
        <v>53</v>
      </c>
      <c r="B32" s="28">
        <v>0</v>
      </c>
      <c r="C32" s="28">
        <v>20260419</v>
      </c>
      <c r="D32" s="28"/>
      <c r="E32" s="28" t="s">
        <v>54</v>
      </c>
      <c r="F32" s="29">
        <v>1</v>
      </c>
      <c r="G32" s="29">
        <v>0.779661016949153</v>
      </c>
      <c r="H32" s="29">
        <v>0.810810810810811</v>
      </c>
      <c r="I32" s="29">
        <v>0.583567239212401</v>
      </c>
      <c r="J32" s="28">
        <v>4000</v>
      </c>
      <c r="K32" s="28">
        <v>32</v>
      </c>
      <c r="L32" s="29">
        <v>0.9</v>
      </c>
      <c r="M32" s="28" t="s">
        <v>35</v>
      </c>
      <c r="N32" s="29">
        <v>0.2</v>
      </c>
      <c r="O32" s="28" t="s">
        <v>30</v>
      </c>
      <c r="P32" s="28" t="s">
        <v>31</v>
      </c>
      <c r="Q32" s="28" t="s">
        <v>37</v>
      </c>
      <c r="R32" s="28" t="s">
        <v>33</v>
      </c>
      <c r="S32" s="28">
        <v>12</v>
      </c>
      <c r="T32" s="28" t="s">
        <v>34</v>
      </c>
    </row>
    <row r="33" ht="18" customHeight="1" spans="1:20">
      <c r="A33" s="28" t="s">
        <v>53</v>
      </c>
      <c r="B33" s="28">
        <v>1</v>
      </c>
      <c r="C33" s="28">
        <v>20260420</v>
      </c>
      <c r="D33" s="28"/>
      <c r="E33" s="28" t="s">
        <v>54</v>
      </c>
      <c r="F33" s="29">
        <v>1</v>
      </c>
      <c r="G33" s="29">
        <v>0.796610169491525</v>
      </c>
      <c r="H33" s="29">
        <v>0.621621621621622</v>
      </c>
      <c r="I33" s="29">
        <v>0.691726015919564</v>
      </c>
      <c r="J33" s="28">
        <v>4000</v>
      </c>
      <c r="K33" s="28">
        <v>32</v>
      </c>
      <c r="L33" s="29">
        <v>0.9</v>
      </c>
      <c r="M33" s="28" t="s">
        <v>35</v>
      </c>
      <c r="N33" s="29">
        <v>0.2</v>
      </c>
      <c r="O33" s="28" t="s">
        <v>30</v>
      </c>
      <c r="P33" s="28" t="s">
        <v>31</v>
      </c>
      <c r="Q33" s="28" t="s">
        <v>37</v>
      </c>
      <c r="R33" s="28" t="s">
        <v>33</v>
      </c>
      <c r="S33" s="28">
        <v>13</v>
      </c>
      <c r="T33" s="28" t="s">
        <v>34</v>
      </c>
    </row>
    <row r="34" ht="18" customHeight="1" spans="1:20">
      <c r="A34" s="28" t="s">
        <v>53</v>
      </c>
      <c r="B34" s="28">
        <v>2</v>
      </c>
      <c r="C34" s="28">
        <v>20260421</v>
      </c>
      <c r="D34" s="28"/>
      <c r="E34" s="28" t="s">
        <v>54</v>
      </c>
      <c r="F34" s="29">
        <v>1</v>
      </c>
      <c r="G34" s="29">
        <v>0.779661016949153</v>
      </c>
      <c r="H34" s="29">
        <v>0.810810810810811</v>
      </c>
      <c r="I34" s="29">
        <v>0.581336405529954</v>
      </c>
      <c r="J34" s="28">
        <v>4000</v>
      </c>
      <c r="K34" s="28">
        <v>32</v>
      </c>
      <c r="L34" s="29">
        <v>0.9</v>
      </c>
      <c r="M34" s="28" t="s">
        <v>29</v>
      </c>
      <c r="N34" s="29">
        <v>0.2</v>
      </c>
      <c r="O34" s="28" t="s">
        <v>30</v>
      </c>
      <c r="P34" s="28" t="s">
        <v>31</v>
      </c>
      <c r="Q34" s="28" t="s">
        <v>37</v>
      </c>
      <c r="R34" s="28" t="s">
        <v>33</v>
      </c>
      <c r="S34" s="28">
        <v>14</v>
      </c>
      <c r="T34" s="28" t="s">
        <v>34</v>
      </c>
    </row>
    <row r="35" ht="18" customHeight="1" spans="1:20">
      <c r="A35" s="28" t="s">
        <v>53</v>
      </c>
      <c r="B35" s="28">
        <v>3</v>
      </c>
      <c r="C35" s="28">
        <v>20260422</v>
      </c>
      <c r="D35" s="28"/>
      <c r="E35" s="28" t="s">
        <v>54</v>
      </c>
      <c r="F35" s="29">
        <v>1</v>
      </c>
      <c r="G35" s="29">
        <v>0.847457627118644</v>
      </c>
      <c r="H35" s="29">
        <v>0.756756756756757</v>
      </c>
      <c r="I35" s="29">
        <v>0.613961038961039</v>
      </c>
      <c r="J35" s="28">
        <v>4000</v>
      </c>
      <c r="K35" s="28">
        <v>32</v>
      </c>
      <c r="L35" s="29">
        <v>0.9</v>
      </c>
      <c r="M35" s="28" t="s">
        <v>29</v>
      </c>
      <c r="N35" s="29">
        <v>0.2</v>
      </c>
      <c r="O35" s="28" t="s">
        <v>30</v>
      </c>
      <c r="P35" s="28" t="s">
        <v>31</v>
      </c>
      <c r="Q35" s="28" t="s">
        <v>37</v>
      </c>
      <c r="R35" s="28" t="s">
        <v>33</v>
      </c>
      <c r="S35" s="28">
        <v>15</v>
      </c>
      <c r="T35" s="28" t="s">
        <v>34</v>
      </c>
    </row>
    <row r="36" ht="18" customHeight="1" spans="1:20">
      <c r="A36" s="28" t="s">
        <v>53</v>
      </c>
      <c r="B36" s="28">
        <v>4</v>
      </c>
      <c r="C36" s="28">
        <v>20260423</v>
      </c>
      <c r="D36" s="28"/>
      <c r="E36" s="28" t="s">
        <v>54</v>
      </c>
      <c r="F36" s="29">
        <v>1</v>
      </c>
      <c r="G36" s="29">
        <v>0.796610169491525</v>
      </c>
      <c r="H36" s="29">
        <v>0.783783783783784</v>
      </c>
      <c r="I36" s="29">
        <v>0.571145789694177</v>
      </c>
      <c r="J36" s="28">
        <v>4000</v>
      </c>
      <c r="K36" s="28">
        <v>32</v>
      </c>
      <c r="L36" s="29">
        <v>0.9</v>
      </c>
      <c r="M36" s="28" t="s">
        <v>35</v>
      </c>
      <c r="N36" s="29">
        <v>0.2</v>
      </c>
      <c r="O36" s="28" t="s">
        <v>30</v>
      </c>
      <c r="P36" s="28" t="s">
        <v>31</v>
      </c>
      <c r="Q36" s="28" t="s">
        <v>37</v>
      </c>
      <c r="R36" s="28" t="s">
        <v>33</v>
      </c>
      <c r="S36" s="28">
        <v>16</v>
      </c>
      <c r="T36" s="28" t="s">
        <v>34</v>
      </c>
    </row>
    <row r="37" ht="18" customHeight="1" spans="1:20">
      <c r="A37" s="28" t="s">
        <v>53</v>
      </c>
      <c r="B37" s="28">
        <v>5</v>
      </c>
      <c r="C37" s="28">
        <v>20260424</v>
      </c>
      <c r="D37" s="28"/>
      <c r="E37" s="28" t="s">
        <v>54</v>
      </c>
      <c r="F37" s="29">
        <v>1</v>
      </c>
      <c r="G37" s="29">
        <v>0.76271186440678</v>
      </c>
      <c r="H37" s="29">
        <v>0.837837837837838</v>
      </c>
      <c r="I37" s="29">
        <v>0.527963971512359</v>
      </c>
      <c r="J37" s="28">
        <v>4000</v>
      </c>
      <c r="K37" s="28">
        <v>32</v>
      </c>
      <c r="L37" s="29">
        <v>0.9</v>
      </c>
      <c r="M37" s="28" t="s">
        <v>35</v>
      </c>
      <c r="N37" s="29">
        <v>0.2</v>
      </c>
      <c r="O37" s="28" t="s">
        <v>30</v>
      </c>
      <c r="P37" s="28" t="s">
        <v>31</v>
      </c>
      <c r="Q37" s="28" t="s">
        <v>37</v>
      </c>
      <c r="R37" s="28" t="s">
        <v>33</v>
      </c>
      <c r="S37" s="28">
        <v>17</v>
      </c>
      <c r="T37" s="28" t="s">
        <v>34</v>
      </c>
    </row>
    <row r="38" ht="18" customHeight="1" spans="1:20">
      <c r="A38" s="28" t="s">
        <v>53</v>
      </c>
      <c r="B38" s="28">
        <v>6</v>
      </c>
      <c r="C38" s="28">
        <v>20260425</v>
      </c>
      <c r="D38" s="28"/>
      <c r="E38" s="28" t="s">
        <v>54</v>
      </c>
      <c r="F38" s="29">
        <v>1</v>
      </c>
      <c r="G38" s="29">
        <v>0.813559322033898</v>
      </c>
      <c r="H38" s="29">
        <v>0.810810810810811</v>
      </c>
      <c r="I38" s="29">
        <v>0.664327607875995</v>
      </c>
      <c r="J38" s="28">
        <v>6000</v>
      </c>
      <c r="K38" s="28">
        <v>32</v>
      </c>
      <c r="L38" s="29">
        <v>0.9</v>
      </c>
      <c r="M38" s="28" t="s">
        <v>35</v>
      </c>
      <c r="N38" s="29">
        <v>0.2</v>
      </c>
      <c r="O38" s="28" t="s">
        <v>30</v>
      </c>
      <c r="P38" s="28" t="s">
        <v>31</v>
      </c>
      <c r="Q38" s="28" t="s">
        <v>37</v>
      </c>
      <c r="R38" s="28" t="s">
        <v>33</v>
      </c>
      <c r="S38" s="28">
        <v>18</v>
      </c>
      <c r="T38" s="28" t="s">
        <v>34</v>
      </c>
    </row>
    <row r="39" ht="18" customHeight="1" spans="1:20">
      <c r="A39" s="28" t="s">
        <v>53</v>
      </c>
      <c r="B39" s="28">
        <v>7</v>
      </c>
      <c r="C39" s="28">
        <v>20260426</v>
      </c>
      <c r="D39" s="28"/>
      <c r="E39" s="28" t="s">
        <v>54</v>
      </c>
      <c r="F39" s="29">
        <v>1</v>
      </c>
      <c r="G39" s="29">
        <v>0.779661016949153</v>
      </c>
      <c r="H39" s="29">
        <v>0.72972972972973</v>
      </c>
      <c r="I39" s="29">
        <v>0.561447423544198</v>
      </c>
      <c r="J39" s="28">
        <v>5000</v>
      </c>
      <c r="K39" s="28">
        <v>32</v>
      </c>
      <c r="L39" s="29">
        <v>0.9</v>
      </c>
      <c r="M39" s="28" t="s">
        <v>35</v>
      </c>
      <c r="N39" s="29">
        <v>0.2</v>
      </c>
      <c r="O39" s="28" t="s">
        <v>30</v>
      </c>
      <c r="P39" s="28" t="s">
        <v>31</v>
      </c>
      <c r="Q39" s="28" t="s">
        <v>37</v>
      </c>
      <c r="R39" s="28" t="s">
        <v>33</v>
      </c>
      <c r="S39" s="28">
        <v>19</v>
      </c>
      <c r="T39" s="28" t="s">
        <v>34</v>
      </c>
    </row>
    <row r="40" ht="18" customHeight="1" spans="1:20">
      <c r="A40" s="28" t="s">
        <v>53</v>
      </c>
      <c r="B40" s="28">
        <v>8</v>
      </c>
      <c r="C40" s="28">
        <v>20260427</v>
      </c>
      <c r="D40" s="28"/>
      <c r="E40" s="28" t="s">
        <v>54</v>
      </c>
      <c r="F40" s="29">
        <v>1</v>
      </c>
      <c r="G40" s="29">
        <v>0.847457627118644</v>
      </c>
      <c r="H40" s="29">
        <v>0.72972972972973</v>
      </c>
      <c r="I40" s="29">
        <v>0.707509426057813</v>
      </c>
      <c r="J40" s="28">
        <v>4000</v>
      </c>
      <c r="K40" s="28">
        <v>32</v>
      </c>
      <c r="L40" s="29">
        <v>0.9</v>
      </c>
      <c r="M40" s="28" t="s">
        <v>35</v>
      </c>
      <c r="N40" s="29">
        <v>0.7</v>
      </c>
      <c r="O40" s="28" t="s">
        <v>30</v>
      </c>
      <c r="P40" s="28" t="s">
        <v>31</v>
      </c>
      <c r="Q40" s="28" t="s">
        <v>37</v>
      </c>
      <c r="R40" s="28" t="s">
        <v>33</v>
      </c>
      <c r="S40" s="28">
        <v>20</v>
      </c>
      <c r="T40" s="28" t="s">
        <v>34</v>
      </c>
    </row>
    <row r="41" ht="18" customHeight="1" spans="1:20">
      <c r="A41" s="28" t="s">
        <v>53</v>
      </c>
      <c r="B41" s="28">
        <v>9</v>
      </c>
      <c r="C41" s="28">
        <v>20260428</v>
      </c>
      <c r="D41" s="28"/>
      <c r="E41" s="28" t="s">
        <v>54</v>
      </c>
      <c r="F41" s="29">
        <v>0.988505747126437</v>
      </c>
      <c r="G41" s="29">
        <v>0.847457627118644</v>
      </c>
      <c r="H41" s="29">
        <v>0.648648648648649</v>
      </c>
      <c r="I41" s="29">
        <v>0.610714285714286</v>
      </c>
      <c r="J41" s="28">
        <v>4000</v>
      </c>
      <c r="K41" s="28">
        <v>32</v>
      </c>
      <c r="L41" s="29">
        <v>0.9</v>
      </c>
      <c r="M41" s="28" t="s">
        <v>38</v>
      </c>
      <c r="N41" s="29">
        <v>0.2</v>
      </c>
      <c r="O41" s="28" t="s">
        <v>30</v>
      </c>
      <c r="P41" s="28" t="s">
        <v>31</v>
      </c>
      <c r="Q41" s="28" t="s">
        <v>37</v>
      </c>
      <c r="R41" s="28" t="s">
        <v>33</v>
      </c>
      <c r="S41" s="28">
        <v>21</v>
      </c>
      <c r="T41" s="28" t="s">
        <v>34</v>
      </c>
    </row>
    <row r="42" ht="18" customHeight="1" spans="1:20">
      <c r="A42" s="28" t="s">
        <v>55</v>
      </c>
      <c r="B42" s="28">
        <v>0</v>
      </c>
      <c r="C42" s="28">
        <v>20260419</v>
      </c>
      <c r="D42" s="28"/>
      <c r="E42" s="28" t="s">
        <v>54</v>
      </c>
      <c r="F42" s="29">
        <v>1</v>
      </c>
      <c r="G42" s="29">
        <v>0.862068965517241</v>
      </c>
      <c r="H42" s="29">
        <v>0.868421052631579</v>
      </c>
      <c r="I42" s="29">
        <v>0.755299539170507</v>
      </c>
      <c r="J42" s="28">
        <v>4000</v>
      </c>
      <c r="K42" s="28">
        <v>32</v>
      </c>
      <c r="L42" s="29">
        <v>0.9</v>
      </c>
      <c r="M42" s="28" t="s">
        <v>35</v>
      </c>
      <c r="N42" s="29">
        <v>0.2</v>
      </c>
      <c r="O42" s="28" t="s">
        <v>30</v>
      </c>
      <c r="P42" s="28" t="s">
        <v>31</v>
      </c>
      <c r="Q42" s="28" t="s">
        <v>37</v>
      </c>
      <c r="R42" s="28" t="s">
        <v>33</v>
      </c>
      <c r="S42" s="28">
        <v>2</v>
      </c>
      <c r="T42" s="28" t="s">
        <v>34</v>
      </c>
    </row>
    <row r="43" ht="18" customHeight="1" spans="1:20">
      <c r="A43" s="28" t="s">
        <v>55</v>
      </c>
      <c r="B43" s="28">
        <v>1</v>
      </c>
      <c r="C43" s="28">
        <v>20260420</v>
      </c>
      <c r="D43" s="28"/>
      <c r="E43" s="28" t="s">
        <v>54</v>
      </c>
      <c r="F43" s="29">
        <v>1</v>
      </c>
      <c r="G43" s="29">
        <v>0.896551724137931</v>
      </c>
      <c r="H43" s="29">
        <v>0.894736842105263</v>
      </c>
      <c r="I43" s="29">
        <v>0.837173579109063</v>
      </c>
      <c r="J43" s="28">
        <v>8000</v>
      </c>
      <c r="K43" s="28">
        <v>32</v>
      </c>
      <c r="L43" s="29">
        <v>0.9</v>
      </c>
      <c r="M43" s="28" t="s">
        <v>35</v>
      </c>
      <c r="N43" s="29">
        <v>0.2</v>
      </c>
      <c r="O43" s="28" t="s">
        <v>30</v>
      </c>
      <c r="P43" s="28" t="s">
        <v>31</v>
      </c>
      <c r="Q43" s="28" t="s">
        <v>37</v>
      </c>
      <c r="R43" s="28" t="s">
        <v>33</v>
      </c>
      <c r="S43" s="28">
        <v>3</v>
      </c>
      <c r="T43" s="28" t="s">
        <v>34</v>
      </c>
    </row>
    <row r="44" ht="18" customHeight="1" spans="1:20">
      <c r="A44" s="28" t="s">
        <v>55</v>
      </c>
      <c r="B44" s="28">
        <v>2</v>
      </c>
      <c r="C44" s="28">
        <v>20260421</v>
      </c>
      <c r="D44" s="28"/>
      <c r="E44" s="28" t="s">
        <v>54</v>
      </c>
      <c r="F44" s="29">
        <v>1</v>
      </c>
      <c r="G44" s="29">
        <v>0.844827586206897</v>
      </c>
      <c r="H44" s="29">
        <v>0.789473684210526</v>
      </c>
      <c r="I44" s="29">
        <v>0.74431643625192</v>
      </c>
      <c r="J44" s="28">
        <v>5000</v>
      </c>
      <c r="K44" s="28">
        <v>32</v>
      </c>
      <c r="L44" s="29">
        <v>0.9</v>
      </c>
      <c r="M44" s="28" t="s">
        <v>35</v>
      </c>
      <c r="N44" s="29">
        <v>0.2</v>
      </c>
      <c r="O44" s="28" t="s">
        <v>30</v>
      </c>
      <c r="P44" s="28" t="s">
        <v>31</v>
      </c>
      <c r="Q44" s="28" t="s">
        <v>37</v>
      </c>
      <c r="R44" s="28" t="s">
        <v>33</v>
      </c>
      <c r="S44" s="28">
        <v>4</v>
      </c>
      <c r="T44" s="28" t="s">
        <v>34</v>
      </c>
    </row>
    <row r="45" ht="18" customHeight="1" spans="1:20">
      <c r="A45" s="28" t="s">
        <v>55</v>
      </c>
      <c r="B45" s="28">
        <v>3</v>
      </c>
      <c r="C45" s="28">
        <v>20260422</v>
      </c>
      <c r="D45" s="28"/>
      <c r="E45" s="28" t="s">
        <v>54</v>
      </c>
      <c r="F45" s="29">
        <v>1</v>
      </c>
      <c r="G45" s="29">
        <v>0.913793103448276</v>
      </c>
      <c r="H45" s="29">
        <v>0.868421052631579</v>
      </c>
      <c r="I45" s="29">
        <v>0.845238095238095</v>
      </c>
      <c r="J45" s="28">
        <v>4000</v>
      </c>
      <c r="K45" s="28">
        <v>32</v>
      </c>
      <c r="L45" s="29">
        <v>0.9</v>
      </c>
      <c r="M45" s="28" t="s">
        <v>35</v>
      </c>
      <c r="N45" s="29">
        <v>0.2</v>
      </c>
      <c r="O45" s="28" t="s">
        <v>30</v>
      </c>
      <c r="P45" s="28" t="s">
        <v>31</v>
      </c>
      <c r="Q45" s="28" t="s">
        <v>37</v>
      </c>
      <c r="R45" s="28" t="s">
        <v>33</v>
      </c>
      <c r="S45" s="28">
        <v>5</v>
      </c>
      <c r="T45" s="28" t="s">
        <v>34</v>
      </c>
    </row>
    <row r="46" ht="18" customHeight="1" spans="1:20">
      <c r="A46" s="28" t="s">
        <v>55</v>
      </c>
      <c r="B46" s="28">
        <v>4</v>
      </c>
      <c r="C46" s="28">
        <v>20260423</v>
      </c>
      <c r="D46" s="28"/>
      <c r="E46" s="28" t="s">
        <v>54</v>
      </c>
      <c r="F46" s="29">
        <v>1</v>
      </c>
      <c r="G46" s="29">
        <v>0.862068965517241</v>
      </c>
      <c r="H46" s="29">
        <v>0.842105263157895</v>
      </c>
      <c r="I46" s="29">
        <v>0.723809523809524</v>
      </c>
      <c r="J46" s="28">
        <v>4000</v>
      </c>
      <c r="K46" s="28">
        <v>32</v>
      </c>
      <c r="L46" s="29">
        <v>0.9</v>
      </c>
      <c r="M46" s="28" t="s">
        <v>35</v>
      </c>
      <c r="N46" s="29">
        <v>0.2</v>
      </c>
      <c r="O46" s="28" t="s">
        <v>30</v>
      </c>
      <c r="P46" s="28" t="s">
        <v>31</v>
      </c>
      <c r="Q46" s="28" t="s">
        <v>37</v>
      </c>
      <c r="R46" s="28" t="s">
        <v>33</v>
      </c>
      <c r="S46" s="28">
        <v>6</v>
      </c>
      <c r="T46" s="28" t="s">
        <v>34</v>
      </c>
    </row>
    <row r="47" ht="18" customHeight="1" spans="1:20">
      <c r="A47" s="28" t="s">
        <v>55</v>
      </c>
      <c r="B47" s="28">
        <v>5</v>
      </c>
      <c r="C47" s="28">
        <v>20260424</v>
      </c>
      <c r="D47" s="28"/>
      <c r="E47" s="28" t="s">
        <v>54</v>
      </c>
      <c r="F47" s="29">
        <v>1</v>
      </c>
      <c r="G47" s="29">
        <v>0.862068965517241</v>
      </c>
      <c r="H47" s="29">
        <v>0.815789473684211</v>
      </c>
      <c r="I47" s="29">
        <v>0.751459293394777</v>
      </c>
      <c r="J47" s="28">
        <v>4000</v>
      </c>
      <c r="K47" s="28">
        <v>32</v>
      </c>
      <c r="L47" s="29">
        <v>0.9</v>
      </c>
      <c r="M47" s="28" t="s">
        <v>29</v>
      </c>
      <c r="N47" s="29">
        <v>0.2</v>
      </c>
      <c r="O47" s="28" t="s">
        <v>30</v>
      </c>
      <c r="P47" s="28" t="s">
        <v>31</v>
      </c>
      <c r="Q47" s="28" t="s">
        <v>37</v>
      </c>
      <c r="R47" s="28" t="s">
        <v>33</v>
      </c>
      <c r="S47" s="28">
        <v>7</v>
      </c>
      <c r="T47" s="28" t="s">
        <v>34</v>
      </c>
    </row>
    <row r="48" ht="18" customHeight="1" spans="1:20">
      <c r="A48" s="28" t="s">
        <v>55</v>
      </c>
      <c r="B48" s="28">
        <v>6</v>
      </c>
      <c r="C48" s="28">
        <v>20260425</v>
      </c>
      <c r="D48" s="28"/>
      <c r="E48" s="28" t="s">
        <v>54</v>
      </c>
      <c r="F48" s="29">
        <v>1</v>
      </c>
      <c r="G48" s="29">
        <v>0.862068965517241</v>
      </c>
      <c r="H48" s="29">
        <v>0.894736842105263</v>
      </c>
      <c r="I48" s="29">
        <v>0.776190476190476</v>
      </c>
      <c r="J48" s="28">
        <v>4000</v>
      </c>
      <c r="K48" s="28">
        <v>32</v>
      </c>
      <c r="L48" s="29">
        <v>0.95</v>
      </c>
      <c r="M48" s="28" t="s">
        <v>35</v>
      </c>
      <c r="N48" s="29">
        <v>0.6</v>
      </c>
      <c r="O48" s="28" t="s">
        <v>30</v>
      </c>
      <c r="P48" s="28" t="s">
        <v>31</v>
      </c>
      <c r="Q48" s="28" t="s">
        <v>37</v>
      </c>
      <c r="R48" s="28" t="s">
        <v>33</v>
      </c>
      <c r="S48" s="28">
        <v>8</v>
      </c>
      <c r="T48" s="28" t="s">
        <v>34</v>
      </c>
    </row>
    <row r="49" ht="18" customHeight="1" spans="1:20">
      <c r="A49" s="28" t="s">
        <v>55</v>
      </c>
      <c r="B49" s="28">
        <v>7</v>
      </c>
      <c r="C49" s="28">
        <v>20260426</v>
      </c>
      <c r="D49" s="28"/>
      <c r="E49" s="28" t="s">
        <v>54</v>
      </c>
      <c r="F49" s="29">
        <v>1</v>
      </c>
      <c r="G49" s="29">
        <v>0.896551724137931</v>
      </c>
      <c r="H49" s="29">
        <v>0.842105263157895</v>
      </c>
      <c r="I49" s="29">
        <v>0.823809523809524</v>
      </c>
      <c r="J49" s="28">
        <v>5000</v>
      </c>
      <c r="K49" s="28">
        <v>32</v>
      </c>
      <c r="L49" s="29">
        <v>0.9</v>
      </c>
      <c r="M49" s="28" t="s">
        <v>35</v>
      </c>
      <c r="N49" s="29">
        <v>0.2</v>
      </c>
      <c r="O49" s="28" t="s">
        <v>30</v>
      </c>
      <c r="P49" s="28" t="s">
        <v>31</v>
      </c>
      <c r="Q49" s="28" t="s">
        <v>37</v>
      </c>
      <c r="R49" s="28" t="s">
        <v>33</v>
      </c>
      <c r="S49" s="28">
        <v>9</v>
      </c>
      <c r="T49" s="28" t="s">
        <v>34</v>
      </c>
    </row>
    <row r="50" ht="18" customHeight="1" spans="1:20">
      <c r="A50" s="28" t="s">
        <v>55</v>
      </c>
      <c r="B50" s="28">
        <v>8</v>
      </c>
      <c r="C50" s="28">
        <v>20260427</v>
      </c>
      <c r="D50" s="28"/>
      <c r="E50" s="28" t="s">
        <v>54</v>
      </c>
      <c r="F50" s="29">
        <v>1</v>
      </c>
      <c r="G50" s="29">
        <v>0.913793103448276</v>
      </c>
      <c r="H50" s="29">
        <v>0.894736842105263</v>
      </c>
      <c r="I50" s="29">
        <v>0.826190476190476</v>
      </c>
      <c r="J50" s="28">
        <v>4000</v>
      </c>
      <c r="K50" s="28">
        <v>32</v>
      </c>
      <c r="L50" s="29">
        <v>0.9</v>
      </c>
      <c r="M50" s="28" t="s">
        <v>29</v>
      </c>
      <c r="N50" s="29">
        <v>0.2</v>
      </c>
      <c r="O50" s="28" t="s">
        <v>30</v>
      </c>
      <c r="P50" s="28" t="s">
        <v>31</v>
      </c>
      <c r="Q50" s="28" t="s">
        <v>37</v>
      </c>
      <c r="R50" s="28" t="s">
        <v>33</v>
      </c>
      <c r="S50" s="28">
        <v>10</v>
      </c>
      <c r="T50" s="28" t="s">
        <v>34</v>
      </c>
    </row>
    <row r="51" ht="18" customHeight="1" spans="1:20">
      <c r="A51" s="28" t="s">
        <v>55</v>
      </c>
      <c r="B51" s="28">
        <v>9</v>
      </c>
      <c r="C51" s="28">
        <v>20260428</v>
      </c>
      <c r="D51" s="28"/>
      <c r="E51" s="28" t="s">
        <v>54</v>
      </c>
      <c r="F51" s="29">
        <v>1</v>
      </c>
      <c r="G51" s="29">
        <v>0.862068965517241</v>
      </c>
      <c r="H51" s="29">
        <v>0.921052631578947</v>
      </c>
      <c r="I51" s="29">
        <v>0.765745007680491</v>
      </c>
      <c r="J51" s="28">
        <v>4000</v>
      </c>
      <c r="K51" s="28">
        <v>32</v>
      </c>
      <c r="L51" s="29">
        <v>0.99</v>
      </c>
      <c r="M51" s="28" t="s">
        <v>35</v>
      </c>
      <c r="N51" s="29">
        <v>0.2</v>
      </c>
      <c r="O51" s="28" t="s">
        <v>30</v>
      </c>
      <c r="P51" s="28" t="s">
        <v>31</v>
      </c>
      <c r="Q51" s="28" t="s">
        <v>37</v>
      </c>
      <c r="R51" s="28" t="s">
        <v>33</v>
      </c>
      <c r="S51" s="28">
        <v>11</v>
      </c>
      <c r="T51" s="28" t="s">
        <v>34</v>
      </c>
    </row>
    <row r="52" ht="18" customHeight="1" spans="1:20">
      <c r="A52" s="28" t="s">
        <v>56</v>
      </c>
      <c r="B52" s="28">
        <v>0</v>
      </c>
      <c r="C52" s="28">
        <v>20260419</v>
      </c>
      <c r="D52" s="28"/>
      <c r="E52" s="28" t="s">
        <v>54</v>
      </c>
      <c r="F52" s="29">
        <v>1</v>
      </c>
      <c r="G52" s="29">
        <v>0.8625</v>
      </c>
      <c r="H52" s="29">
        <v>0.901960784313726</v>
      </c>
      <c r="I52" s="29">
        <v>0.670836236933798</v>
      </c>
      <c r="J52" s="28">
        <v>4000</v>
      </c>
      <c r="K52" s="28">
        <v>32</v>
      </c>
      <c r="L52" s="29">
        <v>0.9</v>
      </c>
      <c r="M52" s="28" t="s">
        <v>29</v>
      </c>
      <c r="N52" s="29">
        <v>0.2</v>
      </c>
      <c r="O52" s="28" t="s">
        <v>30</v>
      </c>
      <c r="P52" s="28" t="s">
        <v>31</v>
      </c>
      <c r="Q52" s="28" t="s">
        <v>37</v>
      </c>
      <c r="R52" s="28" t="s">
        <v>33</v>
      </c>
      <c r="S52" s="28">
        <v>22</v>
      </c>
      <c r="T52" s="28" t="s">
        <v>34</v>
      </c>
    </row>
    <row r="53" ht="18" customHeight="1" spans="1:20">
      <c r="A53" s="28" t="s">
        <v>56</v>
      </c>
      <c r="B53" s="28">
        <v>1</v>
      </c>
      <c r="C53" s="28">
        <v>20260420</v>
      </c>
      <c r="D53" s="28"/>
      <c r="E53" s="28" t="s">
        <v>54</v>
      </c>
      <c r="F53" s="29">
        <v>1</v>
      </c>
      <c r="G53" s="29">
        <v>0.8625</v>
      </c>
      <c r="H53" s="29">
        <v>0.862745098039216</v>
      </c>
      <c r="I53" s="29">
        <v>0.682264808362369</v>
      </c>
      <c r="J53" s="28">
        <v>4000</v>
      </c>
      <c r="K53" s="28">
        <v>32</v>
      </c>
      <c r="L53" s="29">
        <v>0.9</v>
      </c>
      <c r="M53" s="28" t="s">
        <v>29</v>
      </c>
      <c r="N53" s="29">
        <v>0.2</v>
      </c>
      <c r="O53" s="28" t="s">
        <v>30</v>
      </c>
      <c r="P53" s="28" t="s">
        <v>31</v>
      </c>
      <c r="Q53" s="28" t="s">
        <v>37</v>
      </c>
      <c r="R53" s="28" t="s">
        <v>33</v>
      </c>
      <c r="S53" s="28">
        <v>23</v>
      </c>
      <c r="T53" s="28" t="s">
        <v>34</v>
      </c>
    </row>
    <row r="54" ht="18" customHeight="1" spans="1:20">
      <c r="A54" s="28" t="s">
        <v>56</v>
      </c>
      <c r="B54" s="28">
        <v>2</v>
      </c>
      <c r="C54" s="28">
        <v>20260421</v>
      </c>
      <c r="D54" s="28"/>
      <c r="E54" s="28" t="s">
        <v>54</v>
      </c>
      <c r="F54" s="29">
        <v>1</v>
      </c>
      <c r="G54" s="29">
        <v>0.8625</v>
      </c>
      <c r="H54" s="29">
        <v>0.843137254901961</v>
      </c>
      <c r="I54" s="29">
        <v>0.682264808362369</v>
      </c>
      <c r="J54" s="28">
        <v>5000</v>
      </c>
      <c r="K54" s="28">
        <v>32</v>
      </c>
      <c r="L54" s="29">
        <v>0.95</v>
      </c>
      <c r="M54" s="28" t="s">
        <v>29</v>
      </c>
      <c r="N54" s="29">
        <v>0.4</v>
      </c>
      <c r="O54" s="28" t="s">
        <v>30</v>
      </c>
      <c r="P54" s="28" t="s">
        <v>31</v>
      </c>
      <c r="Q54" s="28" t="s">
        <v>37</v>
      </c>
      <c r="R54" s="28" t="s">
        <v>33</v>
      </c>
      <c r="S54" s="28">
        <v>24</v>
      </c>
      <c r="T54" s="28" t="s">
        <v>34</v>
      </c>
    </row>
    <row r="55" ht="18" customHeight="1" spans="1:20">
      <c r="A55" s="28" t="s">
        <v>56</v>
      </c>
      <c r="B55" s="28">
        <v>3</v>
      </c>
      <c r="C55" s="28">
        <v>20260422</v>
      </c>
      <c r="D55" s="28"/>
      <c r="E55" s="28" t="s">
        <v>54</v>
      </c>
      <c r="F55" s="29">
        <v>1</v>
      </c>
      <c r="G55" s="29">
        <v>0.8625</v>
      </c>
      <c r="H55" s="29">
        <v>0.862745098039216</v>
      </c>
      <c r="I55" s="29">
        <v>0.670836236933798</v>
      </c>
      <c r="J55" s="28">
        <v>4000</v>
      </c>
      <c r="K55" s="28">
        <v>32</v>
      </c>
      <c r="L55" s="29">
        <v>0.9</v>
      </c>
      <c r="M55" s="28" t="s">
        <v>38</v>
      </c>
      <c r="N55" s="29">
        <v>0.6</v>
      </c>
      <c r="O55" s="28" t="s">
        <v>30</v>
      </c>
      <c r="P55" s="28" t="s">
        <v>31</v>
      </c>
      <c r="Q55" s="28" t="s">
        <v>37</v>
      </c>
      <c r="R55" s="28" t="s">
        <v>33</v>
      </c>
      <c r="S55" s="28">
        <v>25</v>
      </c>
      <c r="T55" s="28" t="s">
        <v>34</v>
      </c>
    </row>
    <row r="56" ht="18" customHeight="1" spans="1:20">
      <c r="A56" s="28" t="s">
        <v>56</v>
      </c>
      <c r="B56" s="28">
        <v>4</v>
      </c>
      <c r="C56" s="28">
        <v>20260423</v>
      </c>
      <c r="D56" s="28"/>
      <c r="E56" s="28" t="s">
        <v>54</v>
      </c>
      <c r="F56" s="29">
        <v>1</v>
      </c>
      <c r="G56" s="29">
        <v>0.875</v>
      </c>
      <c r="H56" s="29">
        <v>0.882352941176471</v>
      </c>
      <c r="I56" s="29">
        <v>0.692264808362369</v>
      </c>
      <c r="J56" s="28">
        <v>5000</v>
      </c>
      <c r="K56" s="28">
        <v>32</v>
      </c>
      <c r="L56" s="29">
        <v>0.9</v>
      </c>
      <c r="M56" s="28" t="s">
        <v>35</v>
      </c>
      <c r="N56" s="29">
        <v>0.2</v>
      </c>
      <c r="O56" s="28" t="s">
        <v>30</v>
      </c>
      <c r="P56" s="28" t="s">
        <v>31</v>
      </c>
      <c r="Q56" s="28" t="s">
        <v>37</v>
      </c>
      <c r="R56" s="28" t="s">
        <v>33</v>
      </c>
      <c r="S56" s="28">
        <v>26</v>
      </c>
      <c r="T56" s="28" t="s">
        <v>34</v>
      </c>
    </row>
    <row r="57" ht="18" customHeight="1" spans="1:20">
      <c r="A57" s="28" t="s">
        <v>56</v>
      </c>
      <c r="B57" s="28">
        <v>5</v>
      </c>
      <c r="C57" s="28">
        <v>20260424</v>
      </c>
      <c r="D57" s="28"/>
      <c r="E57" s="28" t="s">
        <v>54</v>
      </c>
      <c r="F57" s="29">
        <v>1</v>
      </c>
      <c r="G57" s="29">
        <v>0.85</v>
      </c>
      <c r="H57" s="29">
        <v>0.862745098039216</v>
      </c>
      <c r="I57" s="29">
        <v>0.635121951219512</v>
      </c>
      <c r="J57" s="28">
        <v>6000</v>
      </c>
      <c r="K57" s="28">
        <v>32</v>
      </c>
      <c r="L57" s="29">
        <v>0.9</v>
      </c>
      <c r="M57" s="28" t="s">
        <v>35</v>
      </c>
      <c r="N57" s="29">
        <v>0.2</v>
      </c>
      <c r="O57" s="28" t="s">
        <v>30</v>
      </c>
      <c r="P57" s="28" t="s">
        <v>31</v>
      </c>
      <c r="Q57" s="28" t="s">
        <v>37</v>
      </c>
      <c r="R57" s="28" t="s">
        <v>33</v>
      </c>
      <c r="S57" s="28">
        <v>27</v>
      </c>
      <c r="T57" s="28" t="s">
        <v>34</v>
      </c>
    </row>
    <row r="58" ht="18" customHeight="1" spans="1:20">
      <c r="A58" s="28" t="s">
        <v>56</v>
      </c>
      <c r="B58" s="28">
        <v>6</v>
      </c>
      <c r="C58" s="28">
        <v>20260425</v>
      </c>
      <c r="D58" s="28"/>
      <c r="E58" s="28" t="s">
        <v>54</v>
      </c>
      <c r="F58" s="29">
        <v>1</v>
      </c>
      <c r="G58" s="29">
        <v>0.825</v>
      </c>
      <c r="H58" s="29">
        <v>0.843137254901961</v>
      </c>
      <c r="I58" s="29">
        <v>0.650243902439024</v>
      </c>
      <c r="J58" s="28">
        <v>4000</v>
      </c>
      <c r="K58" s="28">
        <v>32</v>
      </c>
      <c r="L58" s="29">
        <v>0.9</v>
      </c>
      <c r="M58" s="28" t="s">
        <v>29</v>
      </c>
      <c r="N58" s="29">
        <v>0.2</v>
      </c>
      <c r="O58" s="28" t="s">
        <v>30</v>
      </c>
      <c r="P58" s="28" t="s">
        <v>31</v>
      </c>
      <c r="Q58" s="28" t="s">
        <v>37</v>
      </c>
      <c r="R58" s="28" t="s">
        <v>33</v>
      </c>
      <c r="S58" s="28">
        <v>28</v>
      </c>
      <c r="T58" s="28" t="s">
        <v>34</v>
      </c>
    </row>
    <row r="59" ht="18" customHeight="1" spans="1:20">
      <c r="A59" s="28" t="s">
        <v>56</v>
      </c>
      <c r="B59" s="28">
        <v>7</v>
      </c>
      <c r="C59" s="28">
        <v>20260426</v>
      </c>
      <c r="D59" s="28"/>
      <c r="E59" s="28" t="s">
        <v>54</v>
      </c>
      <c r="F59" s="29">
        <v>1</v>
      </c>
      <c r="G59" s="29">
        <v>0.8375</v>
      </c>
      <c r="H59" s="29">
        <v>0.784313725490196</v>
      </c>
      <c r="I59" s="29">
        <v>0.684773519163763</v>
      </c>
      <c r="J59" s="28">
        <v>4000</v>
      </c>
      <c r="K59" s="28">
        <v>32</v>
      </c>
      <c r="L59" s="29">
        <v>0.9</v>
      </c>
      <c r="M59" s="28" t="s">
        <v>35</v>
      </c>
      <c r="N59" s="29">
        <v>0.2</v>
      </c>
      <c r="O59" s="28" t="s">
        <v>30</v>
      </c>
      <c r="P59" s="28" t="s">
        <v>31</v>
      </c>
      <c r="Q59" s="28" t="s">
        <v>37</v>
      </c>
      <c r="R59" s="28" t="s">
        <v>33</v>
      </c>
      <c r="S59" s="28">
        <v>29</v>
      </c>
      <c r="T59" s="28" t="s">
        <v>34</v>
      </c>
    </row>
    <row r="60" ht="18" customHeight="1" spans="1:20">
      <c r="A60" s="28" t="s">
        <v>56</v>
      </c>
      <c r="B60" s="28">
        <v>8</v>
      </c>
      <c r="C60" s="28">
        <v>20260427</v>
      </c>
      <c r="D60" s="28"/>
      <c r="E60" s="28" t="s">
        <v>54</v>
      </c>
      <c r="F60" s="29">
        <v>1</v>
      </c>
      <c r="G60" s="29">
        <v>0.85</v>
      </c>
      <c r="H60" s="29">
        <v>0.823529411764706</v>
      </c>
      <c r="I60" s="29">
        <v>0.6</v>
      </c>
      <c r="J60" s="28">
        <v>4000</v>
      </c>
      <c r="K60" s="28">
        <v>32</v>
      </c>
      <c r="L60" s="29">
        <v>0.9</v>
      </c>
      <c r="M60" s="28" t="s">
        <v>35</v>
      </c>
      <c r="N60" s="29">
        <v>0.2</v>
      </c>
      <c r="O60" s="28" t="s">
        <v>30</v>
      </c>
      <c r="P60" s="28" t="s">
        <v>31</v>
      </c>
      <c r="Q60" s="28" t="s">
        <v>37</v>
      </c>
      <c r="R60" s="28" t="s">
        <v>33</v>
      </c>
      <c r="S60" s="28">
        <v>30</v>
      </c>
      <c r="T60" s="28" t="s">
        <v>34</v>
      </c>
    </row>
    <row r="61" ht="18" customHeight="1" spans="1:20">
      <c r="A61" s="28" t="s">
        <v>56</v>
      </c>
      <c r="B61" s="28">
        <v>9</v>
      </c>
      <c r="C61" s="28">
        <v>20260428</v>
      </c>
      <c r="D61" s="28"/>
      <c r="E61" s="28" t="s">
        <v>54</v>
      </c>
      <c r="F61" s="29">
        <v>1</v>
      </c>
      <c r="G61" s="29">
        <v>0.8375</v>
      </c>
      <c r="H61" s="29">
        <v>0.764705882352941</v>
      </c>
      <c r="I61" s="29">
        <v>0.595121951219512</v>
      </c>
      <c r="J61" s="28">
        <v>5000</v>
      </c>
      <c r="K61" s="28">
        <v>32</v>
      </c>
      <c r="L61" s="29">
        <v>0.9</v>
      </c>
      <c r="M61" s="28" t="s">
        <v>29</v>
      </c>
      <c r="N61" s="29">
        <v>0.7</v>
      </c>
      <c r="O61" s="28" t="s">
        <v>30</v>
      </c>
      <c r="P61" s="28" t="s">
        <v>31</v>
      </c>
      <c r="Q61" s="28" t="s">
        <v>37</v>
      </c>
      <c r="R61" s="28" t="s">
        <v>33</v>
      </c>
      <c r="S61" s="28">
        <v>31</v>
      </c>
      <c r="T61" s="28" t="s">
        <v>34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1"/>
  <sheetViews>
    <sheetView showGridLines="0" workbookViewId="0">
      <selection activeCell="A1" sqref="A1"/>
    </sheetView>
  </sheetViews>
  <sheetFormatPr defaultColWidth="9" defaultRowHeight="14.5"/>
  <cols>
    <col min="1" max="5" width="12" customWidth="1"/>
    <col min="6" max="6" width="15" customWidth="1"/>
    <col min="7" max="7" width="13" customWidth="1"/>
    <col min="8" max="8" width="14" customWidth="1"/>
    <col min="9" max="11" width="12" customWidth="1"/>
    <col min="12" max="12" width="16" customWidth="1"/>
    <col min="13" max="15" width="13" customWidth="1"/>
    <col min="16" max="16" width="14" customWidth="1"/>
  </cols>
  <sheetData>
    <row r="1" ht="18" customHeight="1" spans="1:16">
      <c r="A1" s="27" t="s">
        <v>7</v>
      </c>
      <c r="B1" s="27" t="s">
        <v>57</v>
      </c>
      <c r="C1" s="27" t="s">
        <v>8</v>
      </c>
      <c r="D1" s="27" t="s">
        <v>10</v>
      </c>
      <c r="E1" s="27" t="s">
        <v>9</v>
      </c>
      <c r="F1" s="27" t="s">
        <v>12</v>
      </c>
      <c r="G1" s="27" t="s">
        <v>13</v>
      </c>
      <c r="H1" s="27" t="s">
        <v>14</v>
      </c>
      <c r="I1" s="27" t="s">
        <v>58</v>
      </c>
      <c r="J1" s="27" t="s">
        <v>59</v>
      </c>
      <c r="K1" s="27" t="s">
        <v>60</v>
      </c>
      <c r="L1" s="27" t="s">
        <v>22</v>
      </c>
      <c r="M1" s="27" t="s">
        <v>24</v>
      </c>
      <c r="N1" s="27" t="s">
        <v>25</v>
      </c>
      <c r="O1" s="27" t="s">
        <v>26</v>
      </c>
      <c r="P1" s="27" t="s">
        <v>11</v>
      </c>
    </row>
    <row r="2" ht="18" customHeight="1" spans="1:16">
      <c r="A2" s="28" t="s">
        <v>27</v>
      </c>
      <c r="B2" s="28" t="s">
        <v>61</v>
      </c>
      <c r="C2" s="28">
        <v>0</v>
      </c>
      <c r="D2" s="28">
        <v>0</v>
      </c>
      <c r="E2" s="28">
        <v>0</v>
      </c>
      <c r="F2" s="29">
        <v>0.935000002384186</v>
      </c>
      <c r="G2" s="29">
        <v>0.870000004768372</v>
      </c>
      <c r="H2" s="29">
        <v>0.778146684169769</v>
      </c>
      <c r="I2" s="28">
        <v>155</v>
      </c>
      <c r="J2" s="29">
        <v>144.287</v>
      </c>
      <c r="K2" s="28">
        <v>99530</v>
      </c>
      <c r="L2" s="28" t="s">
        <v>62</v>
      </c>
      <c r="M2" s="28" t="s">
        <v>63</v>
      </c>
      <c r="N2" s="28">
        <v>83</v>
      </c>
      <c r="O2" s="28" t="s">
        <v>64</v>
      </c>
      <c r="P2" s="28" t="s">
        <v>65</v>
      </c>
    </row>
    <row r="3" ht="18" customHeight="1" spans="1:16">
      <c r="A3" s="28" t="s">
        <v>27</v>
      </c>
      <c r="B3" s="28" t="s">
        <v>61</v>
      </c>
      <c r="C3" s="28">
        <v>1</v>
      </c>
      <c r="D3" s="28">
        <v>0</v>
      </c>
      <c r="E3" s="28">
        <v>1</v>
      </c>
      <c r="F3" s="29">
        <v>0.959999978542328</v>
      </c>
      <c r="G3" s="29">
        <v>0.863333344459534</v>
      </c>
      <c r="H3" s="29">
        <v>0.795955300331116</v>
      </c>
      <c r="I3" s="28">
        <v>145</v>
      </c>
      <c r="J3" s="29">
        <v>154.384</v>
      </c>
      <c r="K3" s="28">
        <v>99530</v>
      </c>
      <c r="L3" s="28" t="s">
        <v>62</v>
      </c>
      <c r="M3" s="28" t="s">
        <v>63</v>
      </c>
      <c r="N3" s="28">
        <v>91</v>
      </c>
      <c r="O3" s="28" t="s">
        <v>64</v>
      </c>
      <c r="P3" s="28" t="s">
        <v>65</v>
      </c>
    </row>
    <row r="4" ht="18" customHeight="1" spans="1:16">
      <c r="A4" s="28" t="s">
        <v>27</v>
      </c>
      <c r="B4" s="28" t="s">
        <v>61</v>
      </c>
      <c r="C4" s="28">
        <v>2</v>
      </c>
      <c r="D4" s="28">
        <v>0</v>
      </c>
      <c r="E4" s="28">
        <v>2</v>
      </c>
      <c r="F4" s="29">
        <v>0.944999992847443</v>
      </c>
      <c r="G4" s="29">
        <v>0.836666643619537</v>
      </c>
      <c r="H4" s="29">
        <v>0.769770622253418</v>
      </c>
      <c r="I4" s="28">
        <v>90</v>
      </c>
      <c r="J4" s="29">
        <v>98.91</v>
      </c>
      <c r="K4" s="28">
        <v>99530</v>
      </c>
      <c r="L4" s="28" t="s">
        <v>62</v>
      </c>
      <c r="M4" s="28" t="s">
        <v>63</v>
      </c>
      <c r="N4" s="28">
        <v>99</v>
      </c>
      <c r="O4" s="28" t="s">
        <v>64</v>
      </c>
      <c r="P4" s="28" t="s">
        <v>65</v>
      </c>
    </row>
    <row r="5" ht="18" customHeight="1" spans="1:16">
      <c r="A5" s="28" t="s">
        <v>27</v>
      </c>
      <c r="B5" s="28" t="s">
        <v>61</v>
      </c>
      <c r="C5" s="28">
        <v>3</v>
      </c>
      <c r="D5" s="28">
        <v>0</v>
      </c>
      <c r="E5" s="28">
        <v>3</v>
      </c>
      <c r="F5" s="29">
        <v>0.959999978542328</v>
      </c>
      <c r="G5" s="29">
        <v>0.879999995231628</v>
      </c>
      <c r="H5" s="29">
        <v>0.768865048885345</v>
      </c>
      <c r="I5" s="28">
        <v>140</v>
      </c>
      <c r="J5" s="29">
        <v>130.933</v>
      </c>
      <c r="K5" s="28">
        <v>99530</v>
      </c>
      <c r="L5" s="28" t="s">
        <v>62</v>
      </c>
      <c r="M5" s="28" t="s">
        <v>63</v>
      </c>
      <c r="N5" s="28">
        <v>107</v>
      </c>
      <c r="O5" s="28" t="s">
        <v>64</v>
      </c>
      <c r="P5" s="28" t="s">
        <v>65</v>
      </c>
    </row>
    <row r="6" ht="18" customHeight="1" spans="1:16">
      <c r="A6" s="28" t="s">
        <v>27</v>
      </c>
      <c r="B6" s="28" t="s">
        <v>61</v>
      </c>
      <c r="C6" s="28">
        <v>4</v>
      </c>
      <c r="D6" s="28">
        <v>0</v>
      </c>
      <c r="E6" s="28">
        <v>4</v>
      </c>
      <c r="F6" s="29">
        <v>0.970000028610229</v>
      </c>
      <c r="G6" s="29">
        <v>0.870000004768372</v>
      </c>
      <c r="H6" s="29">
        <v>0.796559035778046</v>
      </c>
      <c r="I6" s="28">
        <v>245</v>
      </c>
      <c r="J6" s="29">
        <v>202.137</v>
      </c>
      <c r="K6" s="28">
        <v>99530</v>
      </c>
      <c r="L6" s="28" t="s">
        <v>62</v>
      </c>
      <c r="M6" s="28" t="s">
        <v>63</v>
      </c>
      <c r="N6" s="28">
        <v>115</v>
      </c>
      <c r="O6" s="28" t="s">
        <v>64</v>
      </c>
      <c r="P6" s="28" t="s">
        <v>65</v>
      </c>
    </row>
    <row r="7" ht="18" customHeight="1" spans="1:16">
      <c r="A7" s="28" t="s">
        <v>27</v>
      </c>
      <c r="B7" s="28" t="s">
        <v>61</v>
      </c>
      <c r="C7" s="28">
        <v>5</v>
      </c>
      <c r="D7" s="28">
        <v>0</v>
      </c>
      <c r="E7" s="28">
        <v>5</v>
      </c>
      <c r="F7" s="29">
        <v>0.964999973773956</v>
      </c>
      <c r="G7" s="29">
        <v>0.870000004768372</v>
      </c>
      <c r="H7" s="29">
        <v>0.741397500038147</v>
      </c>
      <c r="I7" s="28">
        <v>195</v>
      </c>
      <c r="J7" s="29">
        <v>168.665</v>
      </c>
      <c r="K7" s="28">
        <v>99530</v>
      </c>
      <c r="L7" s="28" t="s">
        <v>62</v>
      </c>
      <c r="M7" s="28" t="s">
        <v>63</v>
      </c>
      <c r="N7" s="28">
        <v>123</v>
      </c>
      <c r="O7" s="28" t="s">
        <v>64</v>
      </c>
      <c r="P7" s="28" t="s">
        <v>65</v>
      </c>
    </row>
    <row r="8" ht="18" customHeight="1" spans="1:16">
      <c r="A8" s="28" t="s">
        <v>27</v>
      </c>
      <c r="B8" s="28" t="s">
        <v>61</v>
      </c>
      <c r="C8" s="28">
        <v>6</v>
      </c>
      <c r="D8" s="28">
        <v>0</v>
      </c>
      <c r="E8" s="28">
        <v>6</v>
      </c>
      <c r="F8" s="29">
        <v>0.975000023841858</v>
      </c>
      <c r="G8" s="29">
        <v>0.800000011920929</v>
      </c>
      <c r="H8" s="29">
        <v>0.75882887840271</v>
      </c>
      <c r="I8" s="28">
        <v>70</v>
      </c>
      <c r="J8" s="29">
        <v>83.061</v>
      </c>
      <c r="K8" s="28">
        <v>99530</v>
      </c>
      <c r="L8" s="28" t="s">
        <v>62</v>
      </c>
      <c r="M8" s="28" t="s">
        <v>63</v>
      </c>
      <c r="N8" s="28">
        <v>131</v>
      </c>
      <c r="O8" s="28" t="s">
        <v>64</v>
      </c>
      <c r="P8" s="28" t="s">
        <v>65</v>
      </c>
    </row>
    <row r="9" ht="18" customHeight="1" spans="1:16">
      <c r="A9" s="28" t="s">
        <v>27</v>
      </c>
      <c r="B9" s="28" t="s">
        <v>61</v>
      </c>
      <c r="C9" s="28">
        <v>7</v>
      </c>
      <c r="D9" s="28">
        <v>0</v>
      </c>
      <c r="E9" s="28">
        <v>7</v>
      </c>
      <c r="F9" s="29">
        <v>0.964999973773956</v>
      </c>
      <c r="G9" s="29">
        <v>0.870000004768372</v>
      </c>
      <c r="H9" s="29">
        <v>0.796181678771973</v>
      </c>
      <c r="I9" s="28">
        <v>200</v>
      </c>
      <c r="J9" s="29">
        <v>171.885</v>
      </c>
      <c r="K9" s="28">
        <v>99530</v>
      </c>
      <c r="L9" s="28" t="s">
        <v>62</v>
      </c>
      <c r="M9" s="28" t="s">
        <v>63</v>
      </c>
      <c r="N9" s="28">
        <v>139</v>
      </c>
      <c r="O9" s="28" t="s">
        <v>64</v>
      </c>
      <c r="P9" s="28" t="s">
        <v>65</v>
      </c>
    </row>
    <row r="10" ht="18" customHeight="1" spans="1:16">
      <c r="A10" s="28" t="s">
        <v>27</v>
      </c>
      <c r="B10" s="28" t="s">
        <v>61</v>
      </c>
      <c r="C10" s="28">
        <v>8</v>
      </c>
      <c r="D10" s="28">
        <v>0</v>
      </c>
      <c r="E10" s="28">
        <v>8</v>
      </c>
      <c r="F10" s="29">
        <v>0.959999978542328</v>
      </c>
      <c r="G10" s="29">
        <v>0.843333303928375</v>
      </c>
      <c r="H10" s="29">
        <v>0.757847845554352</v>
      </c>
      <c r="I10" s="28">
        <v>175</v>
      </c>
      <c r="J10" s="29">
        <v>155.098</v>
      </c>
      <c r="K10" s="28">
        <v>99530</v>
      </c>
      <c r="L10" s="28" t="s">
        <v>62</v>
      </c>
      <c r="M10" s="28" t="s">
        <v>63</v>
      </c>
      <c r="N10" s="28">
        <v>147</v>
      </c>
      <c r="O10" s="28" t="s">
        <v>64</v>
      </c>
      <c r="P10" s="28" t="s">
        <v>65</v>
      </c>
    </row>
    <row r="11" ht="18" customHeight="1" spans="1:16">
      <c r="A11" s="28" t="s">
        <v>27</v>
      </c>
      <c r="B11" s="28" t="s">
        <v>61</v>
      </c>
      <c r="C11" s="28">
        <v>9</v>
      </c>
      <c r="D11" s="28">
        <v>0</v>
      </c>
      <c r="E11" s="28">
        <v>9</v>
      </c>
      <c r="F11" s="29">
        <v>0.949999988079071</v>
      </c>
      <c r="G11" s="29">
        <v>0.846666693687439</v>
      </c>
      <c r="H11" s="29">
        <v>0.782297015190125</v>
      </c>
      <c r="I11" s="28">
        <v>125</v>
      </c>
      <c r="J11" s="29">
        <v>120.44</v>
      </c>
      <c r="K11" s="28">
        <v>99530</v>
      </c>
      <c r="L11" s="28" t="s">
        <v>62</v>
      </c>
      <c r="M11" s="28" t="s">
        <v>63</v>
      </c>
      <c r="N11" s="28">
        <v>155</v>
      </c>
      <c r="O11" s="28" t="s">
        <v>64</v>
      </c>
      <c r="P11" s="28" t="s">
        <v>65</v>
      </c>
    </row>
    <row r="12" ht="18" customHeight="1" spans="1:16">
      <c r="A12" s="28" t="s">
        <v>36</v>
      </c>
      <c r="B12" s="28" t="s">
        <v>61</v>
      </c>
      <c r="C12" s="28">
        <v>0</v>
      </c>
      <c r="D12" s="28">
        <v>0</v>
      </c>
      <c r="E12" s="28">
        <v>0</v>
      </c>
      <c r="F12" s="29">
        <v>0.987500011920929</v>
      </c>
      <c r="G12" s="29">
        <v>0.920833349227905</v>
      </c>
      <c r="H12" s="29">
        <v>0.858068943023682</v>
      </c>
      <c r="I12" s="28">
        <v>185</v>
      </c>
      <c r="J12" s="29">
        <v>80.442</v>
      </c>
      <c r="K12" s="28">
        <v>96456</v>
      </c>
      <c r="L12" s="28" t="s">
        <v>62</v>
      </c>
      <c r="M12" s="28" t="s">
        <v>63</v>
      </c>
      <c r="N12" s="28">
        <v>3</v>
      </c>
      <c r="O12" s="28" t="s">
        <v>64</v>
      </c>
      <c r="P12" s="28" t="s">
        <v>65</v>
      </c>
    </row>
    <row r="13" ht="18" customHeight="1" spans="1:16">
      <c r="A13" s="28" t="s">
        <v>36</v>
      </c>
      <c r="B13" s="28" t="s">
        <v>61</v>
      </c>
      <c r="C13" s="28">
        <v>1</v>
      </c>
      <c r="D13" s="28">
        <v>0</v>
      </c>
      <c r="E13" s="28">
        <v>1</v>
      </c>
      <c r="F13" s="29">
        <v>0.987500011920929</v>
      </c>
      <c r="G13" s="29">
        <v>0.912500023841858</v>
      </c>
      <c r="H13" s="29">
        <v>0.871034502983093</v>
      </c>
      <c r="I13" s="28">
        <v>125</v>
      </c>
      <c r="J13" s="29">
        <v>56.961</v>
      </c>
      <c r="K13" s="28">
        <v>96456</v>
      </c>
      <c r="L13" s="28" t="s">
        <v>62</v>
      </c>
      <c r="M13" s="28" t="s">
        <v>63</v>
      </c>
      <c r="N13" s="28">
        <v>11</v>
      </c>
      <c r="O13" s="28" t="s">
        <v>64</v>
      </c>
      <c r="P13" s="28" t="s">
        <v>65</v>
      </c>
    </row>
    <row r="14" ht="18" customHeight="1" spans="1:16">
      <c r="A14" s="28" t="s">
        <v>36</v>
      </c>
      <c r="B14" s="28" t="s">
        <v>61</v>
      </c>
      <c r="C14" s="28">
        <v>2</v>
      </c>
      <c r="D14" s="28">
        <v>0</v>
      </c>
      <c r="E14" s="28">
        <v>2</v>
      </c>
      <c r="F14" s="29">
        <v>0.975000023841858</v>
      </c>
      <c r="G14" s="29">
        <v>0.904166638851166</v>
      </c>
      <c r="H14" s="29">
        <v>0.85724139213562</v>
      </c>
      <c r="I14" s="28">
        <v>95</v>
      </c>
      <c r="J14" s="29">
        <v>50.131</v>
      </c>
      <c r="K14" s="28">
        <v>96456</v>
      </c>
      <c r="L14" s="28" t="s">
        <v>62</v>
      </c>
      <c r="M14" s="28" t="s">
        <v>63</v>
      </c>
      <c r="N14" s="28">
        <v>19</v>
      </c>
      <c r="O14" s="28" t="s">
        <v>64</v>
      </c>
      <c r="P14" s="28" t="s">
        <v>65</v>
      </c>
    </row>
    <row r="15" ht="18" customHeight="1" spans="1:16">
      <c r="A15" s="28" t="s">
        <v>36</v>
      </c>
      <c r="B15" s="28" t="s">
        <v>61</v>
      </c>
      <c r="C15" s="28">
        <v>3</v>
      </c>
      <c r="D15" s="28">
        <v>0</v>
      </c>
      <c r="E15" s="28">
        <v>3</v>
      </c>
      <c r="F15" s="29">
        <v>1</v>
      </c>
      <c r="G15" s="29">
        <v>0.933333337306976</v>
      </c>
      <c r="H15" s="29">
        <v>0.876827597618103</v>
      </c>
      <c r="I15" s="28">
        <v>150</v>
      </c>
      <c r="J15" s="29">
        <v>83.377</v>
      </c>
      <c r="K15" s="28">
        <v>96456</v>
      </c>
      <c r="L15" s="28" t="s">
        <v>62</v>
      </c>
      <c r="M15" s="28" t="s">
        <v>63</v>
      </c>
      <c r="N15" s="28">
        <v>27</v>
      </c>
      <c r="O15" s="28" t="s">
        <v>64</v>
      </c>
      <c r="P15" s="28" t="s">
        <v>65</v>
      </c>
    </row>
    <row r="16" ht="18" customHeight="1" spans="1:16">
      <c r="A16" s="28" t="s">
        <v>36</v>
      </c>
      <c r="B16" s="28" t="s">
        <v>61</v>
      </c>
      <c r="C16" s="28">
        <v>4</v>
      </c>
      <c r="D16" s="28">
        <v>0</v>
      </c>
      <c r="E16" s="28">
        <v>4</v>
      </c>
      <c r="F16" s="29">
        <v>0.993749976158142</v>
      </c>
      <c r="G16" s="29">
        <v>0.899999976158142</v>
      </c>
      <c r="H16" s="29">
        <v>0.892137944698334</v>
      </c>
      <c r="I16" s="28">
        <v>115</v>
      </c>
      <c r="J16" s="29">
        <v>55.378</v>
      </c>
      <c r="K16" s="28">
        <v>96456</v>
      </c>
      <c r="L16" s="28" t="s">
        <v>62</v>
      </c>
      <c r="M16" s="28" t="s">
        <v>63</v>
      </c>
      <c r="N16" s="28">
        <v>35</v>
      </c>
      <c r="O16" s="28" t="s">
        <v>64</v>
      </c>
      <c r="P16" s="28" t="s">
        <v>65</v>
      </c>
    </row>
    <row r="17" ht="18" customHeight="1" spans="1:16">
      <c r="A17" s="28" t="s">
        <v>36</v>
      </c>
      <c r="B17" s="28" t="s">
        <v>61</v>
      </c>
      <c r="C17" s="28">
        <v>5</v>
      </c>
      <c r="D17" s="28">
        <v>0</v>
      </c>
      <c r="E17" s="28">
        <v>5</v>
      </c>
      <c r="F17" s="29">
        <v>0.987500011920929</v>
      </c>
      <c r="G17" s="29">
        <v>0.920833349227905</v>
      </c>
      <c r="H17" s="29">
        <v>0.882482767105103</v>
      </c>
      <c r="I17" s="28">
        <v>100</v>
      </c>
      <c r="J17" s="29">
        <v>51.077</v>
      </c>
      <c r="K17" s="28">
        <v>96456</v>
      </c>
      <c r="L17" s="28" t="s">
        <v>62</v>
      </c>
      <c r="M17" s="28" t="s">
        <v>63</v>
      </c>
      <c r="N17" s="28">
        <v>43</v>
      </c>
      <c r="O17" s="28" t="s">
        <v>64</v>
      </c>
      <c r="P17" s="28" t="s">
        <v>65</v>
      </c>
    </row>
    <row r="18" ht="18" customHeight="1" spans="1:16">
      <c r="A18" s="28" t="s">
        <v>36</v>
      </c>
      <c r="B18" s="28" t="s">
        <v>61</v>
      </c>
      <c r="C18" s="28">
        <v>6</v>
      </c>
      <c r="D18" s="28">
        <v>0</v>
      </c>
      <c r="E18" s="28">
        <v>6</v>
      </c>
      <c r="F18" s="29">
        <v>0.987500011920929</v>
      </c>
      <c r="G18" s="29">
        <v>0.912500023841858</v>
      </c>
      <c r="H18" s="29">
        <v>0.888000011444092</v>
      </c>
      <c r="I18" s="28">
        <v>140</v>
      </c>
      <c r="J18" s="29">
        <v>61.485</v>
      </c>
      <c r="K18" s="28">
        <v>96456</v>
      </c>
      <c r="L18" s="28" t="s">
        <v>62</v>
      </c>
      <c r="M18" s="28" t="s">
        <v>63</v>
      </c>
      <c r="N18" s="28">
        <v>51</v>
      </c>
      <c r="O18" s="28" t="s">
        <v>64</v>
      </c>
      <c r="P18" s="28" t="s">
        <v>65</v>
      </c>
    </row>
    <row r="19" ht="18" customHeight="1" spans="1:16">
      <c r="A19" s="28" t="s">
        <v>36</v>
      </c>
      <c r="B19" s="28" t="s">
        <v>61</v>
      </c>
      <c r="C19" s="28">
        <v>7</v>
      </c>
      <c r="D19" s="28">
        <v>0</v>
      </c>
      <c r="E19" s="28">
        <v>7</v>
      </c>
      <c r="F19" s="29">
        <v>1</v>
      </c>
      <c r="G19" s="29">
        <v>0.891666650772095</v>
      </c>
      <c r="H19" s="29">
        <v>0.862482786178589</v>
      </c>
      <c r="I19" s="28">
        <v>95</v>
      </c>
      <c r="J19" s="29">
        <v>46.465</v>
      </c>
      <c r="K19" s="28">
        <v>96456</v>
      </c>
      <c r="L19" s="28" t="s">
        <v>62</v>
      </c>
      <c r="M19" s="28" t="s">
        <v>63</v>
      </c>
      <c r="N19" s="28">
        <v>59</v>
      </c>
      <c r="O19" s="28" t="s">
        <v>64</v>
      </c>
      <c r="P19" s="28" t="s">
        <v>65</v>
      </c>
    </row>
    <row r="20" ht="18" customHeight="1" spans="1:16">
      <c r="A20" s="28" t="s">
        <v>36</v>
      </c>
      <c r="B20" s="28" t="s">
        <v>61</v>
      </c>
      <c r="C20" s="28">
        <v>8</v>
      </c>
      <c r="D20" s="28">
        <v>0</v>
      </c>
      <c r="E20" s="28">
        <v>8</v>
      </c>
      <c r="F20" s="29">
        <v>0.981249988079071</v>
      </c>
      <c r="G20" s="29">
        <v>0.899999976158142</v>
      </c>
      <c r="H20" s="29">
        <v>0.878482758998871</v>
      </c>
      <c r="I20" s="28">
        <v>100</v>
      </c>
      <c r="J20" s="29">
        <v>48.027</v>
      </c>
      <c r="K20" s="28">
        <v>96456</v>
      </c>
      <c r="L20" s="28" t="s">
        <v>62</v>
      </c>
      <c r="M20" s="28" t="s">
        <v>63</v>
      </c>
      <c r="N20" s="28">
        <v>67</v>
      </c>
      <c r="O20" s="28" t="s">
        <v>64</v>
      </c>
      <c r="P20" s="28" t="s">
        <v>65</v>
      </c>
    </row>
    <row r="21" ht="18" customHeight="1" spans="1:16">
      <c r="A21" s="28" t="s">
        <v>36</v>
      </c>
      <c r="B21" s="28" t="s">
        <v>61</v>
      </c>
      <c r="C21" s="28">
        <v>9</v>
      </c>
      <c r="D21" s="28">
        <v>0</v>
      </c>
      <c r="E21" s="28">
        <v>9</v>
      </c>
      <c r="F21" s="29">
        <v>0.975000023841858</v>
      </c>
      <c r="G21" s="29">
        <v>0.904166638851166</v>
      </c>
      <c r="H21" s="29">
        <v>0.891862094402313</v>
      </c>
      <c r="I21" s="28">
        <v>140</v>
      </c>
      <c r="J21" s="29">
        <v>65.668</v>
      </c>
      <c r="K21" s="28">
        <v>96456</v>
      </c>
      <c r="L21" s="28" t="s">
        <v>62</v>
      </c>
      <c r="M21" s="28" t="s">
        <v>63</v>
      </c>
      <c r="N21" s="28">
        <v>75</v>
      </c>
      <c r="O21" s="28" t="s">
        <v>64</v>
      </c>
      <c r="P21" s="28" t="s">
        <v>65</v>
      </c>
    </row>
    <row r="22" ht="18" customHeight="1" spans="1:16">
      <c r="A22" s="28" t="s">
        <v>39</v>
      </c>
      <c r="B22" s="28" t="s">
        <v>66</v>
      </c>
      <c r="C22" s="28">
        <v>0</v>
      </c>
      <c r="D22" s="28">
        <v>0</v>
      </c>
      <c r="E22" s="28">
        <v>0</v>
      </c>
      <c r="F22" s="29">
        <v>0.999084234237671</v>
      </c>
      <c r="G22" s="29">
        <v>0.731138527393341</v>
      </c>
      <c r="H22" s="29">
        <v>0.686403512954712</v>
      </c>
      <c r="I22" s="28">
        <v>100</v>
      </c>
      <c r="J22" s="29">
        <v>4.778</v>
      </c>
      <c r="K22" s="28">
        <v>307589</v>
      </c>
      <c r="L22" s="28" t="s">
        <v>62</v>
      </c>
      <c r="M22" s="28" t="s">
        <v>63</v>
      </c>
      <c r="N22" s="28">
        <v>247</v>
      </c>
      <c r="O22" s="28" t="s">
        <v>64</v>
      </c>
      <c r="P22" s="28" t="s">
        <v>67</v>
      </c>
    </row>
    <row r="23" ht="18" customHeight="1" spans="1:16">
      <c r="A23" s="28" t="s">
        <v>39</v>
      </c>
      <c r="B23" s="28" t="s">
        <v>66</v>
      </c>
      <c r="C23" s="28">
        <v>1</v>
      </c>
      <c r="D23" s="28">
        <v>1</v>
      </c>
      <c r="E23" s="28">
        <v>1</v>
      </c>
      <c r="F23" s="29">
        <v>1</v>
      </c>
      <c r="G23" s="29">
        <v>0.707818925380707</v>
      </c>
      <c r="H23" s="29">
        <v>0.741228044033051</v>
      </c>
      <c r="I23" s="28">
        <v>125</v>
      </c>
      <c r="J23" s="29">
        <v>5.558</v>
      </c>
      <c r="K23" s="28">
        <v>307589</v>
      </c>
      <c r="L23" s="28" t="s">
        <v>62</v>
      </c>
      <c r="M23" s="28" t="s">
        <v>63</v>
      </c>
      <c r="N23" s="28">
        <v>255</v>
      </c>
      <c r="O23" s="28" t="s">
        <v>64</v>
      </c>
      <c r="P23" s="28" t="s">
        <v>67</v>
      </c>
    </row>
    <row r="24" ht="18" customHeight="1" spans="1:16">
      <c r="A24" s="28" t="s">
        <v>39</v>
      </c>
      <c r="B24" s="28" t="s">
        <v>66</v>
      </c>
      <c r="C24" s="28">
        <v>2</v>
      </c>
      <c r="D24" s="28">
        <v>2</v>
      </c>
      <c r="E24" s="28">
        <v>2</v>
      </c>
      <c r="F24" s="29">
        <v>0.998168468475342</v>
      </c>
      <c r="G24" s="29">
        <v>0.725651562213898</v>
      </c>
      <c r="H24" s="29">
        <v>0.706140339374542</v>
      </c>
      <c r="I24" s="28">
        <v>70</v>
      </c>
      <c r="J24" s="29">
        <v>3.804</v>
      </c>
      <c r="K24" s="28">
        <v>307589</v>
      </c>
      <c r="L24" s="28" t="s">
        <v>62</v>
      </c>
      <c r="M24" s="28" t="s">
        <v>63</v>
      </c>
      <c r="N24" s="28">
        <v>263</v>
      </c>
      <c r="O24" s="28" t="s">
        <v>64</v>
      </c>
      <c r="P24" s="28" t="s">
        <v>67</v>
      </c>
    </row>
    <row r="25" ht="18" customHeight="1" spans="1:16">
      <c r="A25" s="28" t="s">
        <v>39</v>
      </c>
      <c r="B25" s="28" t="s">
        <v>66</v>
      </c>
      <c r="C25" s="28">
        <v>3</v>
      </c>
      <c r="D25" s="28">
        <v>3</v>
      </c>
      <c r="E25" s="28">
        <v>3</v>
      </c>
      <c r="F25" s="29">
        <v>0.993589758872986</v>
      </c>
      <c r="G25" s="29">
        <v>0.733882009983063</v>
      </c>
      <c r="H25" s="29">
        <v>0.70175439119339</v>
      </c>
      <c r="I25" s="28">
        <v>60</v>
      </c>
      <c r="J25" s="29">
        <v>3.495</v>
      </c>
      <c r="K25" s="28">
        <v>307589</v>
      </c>
      <c r="L25" s="28" t="s">
        <v>62</v>
      </c>
      <c r="M25" s="28" t="s">
        <v>63</v>
      </c>
      <c r="N25" s="28">
        <v>271</v>
      </c>
      <c r="O25" s="28" t="s">
        <v>64</v>
      </c>
      <c r="P25" s="28" t="s">
        <v>67</v>
      </c>
    </row>
    <row r="26" ht="18" customHeight="1" spans="1:16">
      <c r="A26" s="28" t="s">
        <v>39</v>
      </c>
      <c r="B26" s="28" t="s">
        <v>66</v>
      </c>
      <c r="C26" s="28">
        <v>4</v>
      </c>
      <c r="D26" s="28">
        <v>4</v>
      </c>
      <c r="E26" s="28">
        <v>4</v>
      </c>
      <c r="F26" s="29">
        <v>1</v>
      </c>
      <c r="G26" s="29">
        <v>0.742112457752228</v>
      </c>
      <c r="H26" s="29">
        <v>0.708333313465118</v>
      </c>
      <c r="I26" s="28">
        <v>100</v>
      </c>
      <c r="J26" s="29">
        <v>4.657</v>
      </c>
      <c r="K26" s="28">
        <v>307589</v>
      </c>
      <c r="L26" s="28" t="s">
        <v>62</v>
      </c>
      <c r="M26" s="28" t="s">
        <v>63</v>
      </c>
      <c r="N26" s="28">
        <v>279</v>
      </c>
      <c r="O26" s="28" t="s">
        <v>64</v>
      </c>
      <c r="P26" s="28" t="s">
        <v>67</v>
      </c>
    </row>
    <row r="27" ht="18" customHeight="1" spans="1:16">
      <c r="A27" s="28" t="s">
        <v>39</v>
      </c>
      <c r="B27" s="28" t="s">
        <v>66</v>
      </c>
      <c r="C27" s="28">
        <v>5</v>
      </c>
      <c r="D27" s="28">
        <v>5</v>
      </c>
      <c r="E27" s="28">
        <v>5</v>
      </c>
      <c r="F27" s="29">
        <v>0.999084234237671</v>
      </c>
      <c r="G27" s="29">
        <v>0.733882009983063</v>
      </c>
      <c r="H27" s="29">
        <v>0.725877165794373</v>
      </c>
      <c r="I27" s="28">
        <v>85</v>
      </c>
      <c r="J27" s="29">
        <v>4.176</v>
      </c>
      <c r="K27" s="28">
        <v>307589</v>
      </c>
      <c r="L27" s="28" t="s">
        <v>62</v>
      </c>
      <c r="M27" s="28" t="s">
        <v>63</v>
      </c>
      <c r="N27" s="28">
        <v>287</v>
      </c>
      <c r="O27" s="28" t="s">
        <v>64</v>
      </c>
      <c r="P27" s="28" t="s">
        <v>67</v>
      </c>
    </row>
    <row r="28" ht="18" customHeight="1" spans="1:16">
      <c r="A28" s="28" t="s">
        <v>39</v>
      </c>
      <c r="B28" s="28" t="s">
        <v>66</v>
      </c>
      <c r="C28" s="28">
        <v>6</v>
      </c>
      <c r="D28" s="28">
        <v>6</v>
      </c>
      <c r="E28" s="28">
        <v>6</v>
      </c>
      <c r="F28" s="29">
        <v>1</v>
      </c>
      <c r="G28" s="29">
        <v>0.739368975162506</v>
      </c>
      <c r="H28" s="29">
        <v>0.706140339374542</v>
      </c>
      <c r="I28" s="28">
        <v>150</v>
      </c>
      <c r="J28" s="29">
        <v>6.226</v>
      </c>
      <c r="K28" s="28">
        <v>307589</v>
      </c>
      <c r="L28" s="28" t="s">
        <v>62</v>
      </c>
      <c r="M28" s="28" t="s">
        <v>63</v>
      </c>
      <c r="N28" s="28">
        <v>295</v>
      </c>
      <c r="O28" s="28" t="s">
        <v>64</v>
      </c>
      <c r="P28" s="28" t="s">
        <v>67</v>
      </c>
    </row>
    <row r="29" ht="18" customHeight="1" spans="1:16">
      <c r="A29" s="28" t="s">
        <v>39</v>
      </c>
      <c r="B29" s="28" t="s">
        <v>66</v>
      </c>
      <c r="C29" s="28">
        <v>7</v>
      </c>
      <c r="D29" s="28">
        <v>7</v>
      </c>
      <c r="E29" s="28">
        <v>7</v>
      </c>
      <c r="F29" s="29">
        <v>1</v>
      </c>
      <c r="G29" s="29">
        <v>0.689986288547516</v>
      </c>
      <c r="H29" s="29">
        <v>0.72149121761322</v>
      </c>
      <c r="I29" s="28">
        <v>80</v>
      </c>
      <c r="J29" s="29">
        <v>4.231</v>
      </c>
      <c r="K29" s="28">
        <v>307589</v>
      </c>
      <c r="L29" s="28" t="s">
        <v>62</v>
      </c>
      <c r="M29" s="28" t="s">
        <v>63</v>
      </c>
      <c r="N29" s="28">
        <v>303</v>
      </c>
      <c r="O29" s="28" t="s">
        <v>64</v>
      </c>
      <c r="P29" s="28" t="s">
        <v>67</v>
      </c>
    </row>
    <row r="30" ht="18" customHeight="1" spans="1:16">
      <c r="A30" s="28" t="s">
        <v>39</v>
      </c>
      <c r="B30" s="28" t="s">
        <v>66</v>
      </c>
      <c r="C30" s="28">
        <v>8</v>
      </c>
      <c r="D30" s="28">
        <v>8</v>
      </c>
      <c r="E30" s="28">
        <v>8</v>
      </c>
      <c r="F30" s="29">
        <v>1</v>
      </c>
      <c r="G30" s="29">
        <v>0.731138527393341</v>
      </c>
      <c r="H30" s="29">
        <v>0.712719321250916</v>
      </c>
      <c r="I30" s="28">
        <v>85</v>
      </c>
      <c r="J30" s="29">
        <v>4.246</v>
      </c>
      <c r="K30" s="28">
        <v>307589</v>
      </c>
      <c r="L30" s="28" t="s">
        <v>62</v>
      </c>
      <c r="M30" s="28" t="s">
        <v>63</v>
      </c>
      <c r="N30" s="28">
        <v>311</v>
      </c>
      <c r="O30" s="28" t="s">
        <v>64</v>
      </c>
      <c r="P30" s="28" t="s">
        <v>67</v>
      </c>
    </row>
    <row r="31" ht="18" customHeight="1" spans="1:16">
      <c r="A31" s="28" t="s">
        <v>39</v>
      </c>
      <c r="B31" s="28" t="s">
        <v>66</v>
      </c>
      <c r="C31" s="28">
        <v>9</v>
      </c>
      <c r="D31" s="28">
        <v>9</v>
      </c>
      <c r="E31" s="28">
        <v>9</v>
      </c>
      <c r="F31" s="29">
        <v>0.999084234237671</v>
      </c>
      <c r="G31" s="29">
        <v>0.720164597034454</v>
      </c>
      <c r="H31" s="29">
        <v>0.714912295341492</v>
      </c>
      <c r="I31" s="28">
        <v>100</v>
      </c>
      <c r="J31" s="29">
        <v>4.751</v>
      </c>
      <c r="K31" s="28">
        <v>307589</v>
      </c>
      <c r="L31" s="28" t="s">
        <v>62</v>
      </c>
      <c r="M31" s="28" t="s">
        <v>63</v>
      </c>
      <c r="N31" s="28">
        <v>319</v>
      </c>
      <c r="O31" s="28" t="s">
        <v>64</v>
      </c>
      <c r="P31" s="28" t="s">
        <v>67</v>
      </c>
    </row>
    <row r="32" ht="18" customHeight="1" spans="1:16">
      <c r="A32" s="28" t="s">
        <v>53</v>
      </c>
      <c r="B32" s="28" t="s">
        <v>61</v>
      </c>
      <c r="C32" s="28">
        <v>0</v>
      </c>
      <c r="D32" s="28">
        <v>0</v>
      </c>
      <c r="E32" s="28">
        <v>0</v>
      </c>
      <c r="F32" s="29">
        <v>0.954023003578186</v>
      </c>
      <c r="G32" s="29">
        <v>0.779660999774933</v>
      </c>
      <c r="H32" s="29">
        <v>0.72972971200943</v>
      </c>
      <c r="I32" s="28">
        <v>60</v>
      </c>
      <c r="J32" s="29">
        <v>0.618</v>
      </c>
      <c r="K32" s="28">
        <v>218693</v>
      </c>
      <c r="L32" s="28" t="s">
        <v>62</v>
      </c>
      <c r="M32" s="28" t="s">
        <v>63</v>
      </c>
      <c r="N32" s="28">
        <v>403</v>
      </c>
      <c r="O32" s="28" t="s">
        <v>64</v>
      </c>
      <c r="P32" s="28" t="s">
        <v>67</v>
      </c>
    </row>
    <row r="33" ht="18" customHeight="1" spans="1:16">
      <c r="A33" s="28" t="s">
        <v>53</v>
      </c>
      <c r="B33" s="28" t="s">
        <v>61</v>
      </c>
      <c r="C33" s="28">
        <v>1</v>
      </c>
      <c r="D33" s="28">
        <v>1</v>
      </c>
      <c r="E33" s="28">
        <v>1</v>
      </c>
      <c r="F33" s="29">
        <v>0.954023003578186</v>
      </c>
      <c r="G33" s="29">
        <v>0.694915235042572</v>
      </c>
      <c r="H33" s="29">
        <v>0.621621608734131</v>
      </c>
      <c r="I33" s="28">
        <v>55</v>
      </c>
      <c r="J33" s="29">
        <v>0.586</v>
      </c>
      <c r="K33" s="28">
        <v>218693</v>
      </c>
      <c r="L33" s="28" t="s">
        <v>62</v>
      </c>
      <c r="M33" s="28" t="s">
        <v>63</v>
      </c>
      <c r="N33" s="28">
        <v>411</v>
      </c>
      <c r="O33" s="28" t="s">
        <v>64</v>
      </c>
      <c r="P33" s="28" t="s">
        <v>67</v>
      </c>
    </row>
    <row r="34" ht="18" customHeight="1" spans="1:16">
      <c r="A34" s="28" t="s">
        <v>53</v>
      </c>
      <c r="B34" s="28" t="s">
        <v>61</v>
      </c>
      <c r="C34" s="28">
        <v>2</v>
      </c>
      <c r="D34" s="28">
        <v>2</v>
      </c>
      <c r="E34" s="28">
        <v>2</v>
      </c>
      <c r="F34" s="29">
        <v>1</v>
      </c>
      <c r="G34" s="29">
        <v>0.728813588619232</v>
      </c>
      <c r="H34" s="29">
        <v>0.783783793449402</v>
      </c>
      <c r="I34" s="28">
        <v>185</v>
      </c>
      <c r="J34" s="29">
        <v>1.289</v>
      </c>
      <c r="K34" s="28">
        <v>218693</v>
      </c>
      <c r="L34" s="28" t="s">
        <v>62</v>
      </c>
      <c r="M34" s="28" t="s">
        <v>63</v>
      </c>
      <c r="N34" s="28">
        <v>419</v>
      </c>
      <c r="O34" s="28" t="s">
        <v>64</v>
      </c>
      <c r="P34" s="28" t="s">
        <v>67</v>
      </c>
    </row>
    <row r="35" ht="18" customHeight="1" spans="1:16">
      <c r="A35" s="28" t="s">
        <v>53</v>
      </c>
      <c r="B35" s="28" t="s">
        <v>61</v>
      </c>
      <c r="C35" s="28">
        <v>3</v>
      </c>
      <c r="D35" s="28">
        <v>3</v>
      </c>
      <c r="E35" s="28">
        <v>3</v>
      </c>
      <c r="F35" s="29">
        <v>1</v>
      </c>
      <c r="G35" s="29">
        <v>0.728813588619232</v>
      </c>
      <c r="H35" s="29">
        <v>0.72972971200943</v>
      </c>
      <c r="I35" s="28">
        <v>210</v>
      </c>
      <c r="J35" s="29">
        <v>1.439</v>
      </c>
      <c r="K35" s="28">
        <v>218693</v>
      </c>
      <c r="L35" s="28" t="s">
        <v>62</v>
      </c>
      <c r="M35" s="28" t="s">
        <v>63</v>
      </c>
      <c r="N35" s="28">
        <v>427</v>
      </c>
      <c r="O35" s="28" t="s">
        <v>64</v>
      </c>
      <c r="P35" s="28" t="s">
        <v>67</v>
      </c>
    </row>
    <row r="36" ht="18" customHeight="1" spans="1:16">
      <c r="A36" s="28" t="s">
        <v>53</v>
      </c>
      <c r="B36" s="28" t="s">
        <v>61</v>
      </c>
      <c r="C36" s="28">
        <v>4</v>
      </c>
      <c r="D36" s="28">
        <v>4</v>
      </c>
      <c r="E36" s="28">
        <v>4</v>
      </c>
      <c r="F36" s="29">
        <v>0.977011501789093</v>
      </c>
      <c r="G36" s="29">
        <v>0.677966117858887</v>
      </c>
      <c r="H36" s="29">
        <v>0.72972971200943</v>
      </c>
      <c r="I36" s="28">
        <v>130</v>
      </c>
      <c r="J36" s="29">
        <v>1.007</v>
      </c>
      <c r="K36" s="28">
        <v>218693</v>
      </c>
      <c r="L36" s="28" t="s">
        <v>62</v>
      </c>
      <c r="M36" s="28" t="s">
        <v>63</v>
      </c>
      <c r="N36" s="28">
        <v>435</v>
      </c>
      <c r="O36" s="28" t="s">
        <v>64</v>
      </c>
      <c r="P36" s="28" t="s">
        <v>67</v>
      </c>
    </row>
    <row r="37" ht="18" customHeight="1" spans="1:16">
      <c r="A37" s="28" t="s">
        <v>53</v>
      </c>
      <c r="B37" s="28" t="s">
        <v>61</v>
      </c>
      <c r="C37" s="28">
        <v>5</v>
      </c>
      <c r="D37" s="28">
        <v>5</v>
      </c>
      <c r="E37" s="28">
        <v>5</v>
      </c>
      <c r="F37" s="29">
        <v>0.988505721092224</v>
      </c>
      <c r="G37" s="29">
        <v>0.694915235042572</v>
      </c>
      <c r="H37" s="29">
        <v>0.648648619651794</v>
      </c>
      <c r="I37" s="28">
        <v>110</v>
      </c>
      <c r="J37" s="29">
        <v>0.906</v>
      </c>
      <c r="K37" s="28">
        <v>218693</v>
      </c>
      <c r="L37" s="28" t="s">
        <v>62</v>
      </c>
      <c r="M37" s="28" t="s">
        <v>63</v>
      </c>
      <c r="N37" s="28">
        <v>443</v>
      </c>
      <c r="O37" s="28" t="s">
        <v>64</v>
      </c>
      <c r="P37" s="28" t="s">
        <v>67</v>
      </c>
    </row>
    <row r="38" ht="18" customHeight="1" spans="1:16">
      <c r="A38" s="28" t="s">
        <v>53</v>
      </c>
      <c r="B38" s="28" t="s">
        <v>61</v>
      </c>
      <c r="C38" s="28">
        <v>6</v>
      </c>
      <c r="D38" s="28">
        <v>6</v>
      </c>
      <c r="E38" s="28">
        <v>6</v>
      </c>
      <c r="F38" s="29">
        <v>1</v>
      </c>
      <c r="G38" s="29">
        <v>0.694915235042572</v>
      </c>
      <c r="H38" s="29">
        <v>0.756756782531738</v>
      </c>
      <c r="I38" s="28">
        <v>125</v>
      </c>
      <c r="J38" s="29">
        <v>0.996</v>
      </c>
      <c r="K38" s="28">
        <v>218693</v>
      </c>
      <c r="L38" s="28" t="s">
        <v>62</v>
      </c>
      <c r="M38" s="28" t="s">
        <v>63</v>
      </c>
      <c r="N38" s="28">
        <v>451</v>
      </c>
      <c r="O38" s="28" t="s">
        <v>64</v>
      </c>
      <c r="P38" s="28" t="s">
        <v>67</v>
      </c>
    </row>
    <row r="39" ht="18" customHeight="1" spans="1:16">
      <c r="A39" s="28" t="s">
        <v>53</v>
      </c>
      <c r="B39" s="28" t="s">
        <v>61</v>
      </c>
      <c r="C39" s="28">
        <v>7</v>
      </c>
      <c r="D39" s="28">
        <v>7</v>
      </c>
      <c r="E39" s="28">
        <v>7</v>
      </c>
      <c r="F39" s="29">
        <v>1</v>
      </c>
      <c r="G39" s="29">
        <v>0.762711882591248</v>
      </c>
      <c r="H39" s="29">
        <v>0.72972971200943</v>
      </c>
      <c r="I39" s="28">
        <v>130</v>
      </c>
      <c r="J39" s="29">
        <v>1.007</v>
      </c>
      <c r="K39" s="28">
        <v>218693</v>
      </c>
      <c r="L39" s="28" t="s">
        <v>62</v>
      </c>
      <c r="M39" s="28" t="s">
        <v>63</v>
      </c>
      <c r="N39" s="28">
        <v>459</v>
      </c>
      <c r="O39" s="28" t="s">
        <v>64</v>
      </c>
      <c r="P39" s="28" t="s">
        <v>67</v>
      </c>
    </row>
    <row r="40" ht="18" customHeight="1" spans="1:16">
      <c r="A40" s="28" t="s">
        <v>53</v>
      </c>
      <c r="B40" s="28" t="s">
        <v>61</v>
      </c>
      <c r="C40" s="28">
        <v>8</v>
      </c>
      <c r="D40" s="28">
        <v>8</v>
      </c>
      <c r="E40" s="28">
        <v>8</v>
      </c>
      <c r="F40" s="29">
        <v>1</v>
      </c>
      <c r="G40" s="29">
        <v>0.847457647323608</v>
      </c>
      <c r="H40" s="29">
        <v>0.621621608734131</v>
      </c>
      <c r="I40" s="28">
        <v>155</v>
      </c>
      <c r="J40" s="29">
        <v>1.141</v>
      </c>
      <c r="K40" s="28">
        <v>218693</v>
      </c>
      <c r="L40" s="28" t="s">
        <v>62</v>
      </c>
      <c r="M40" s="28" t="s">
        <v>63</v>
      </c>
      <c r="N40" s="28">
        <v>467</v>
      </c>
      <c r="O40" s="28" t="s">
        <v>64</v>
      </c>
      <c r="P40" s="28" t="s">
        <v>67</v>
      </c>
    </row>
    <row r="41" ht="18" customHeight="1" spans="1:16">
      <c r="A41" s="28" t="s">
        <v>53</v>
      </c>
      <c r="B41" s="28" t="s">
        <v>61</v>
      </c>
      <c r="C41" s="28">
        <v>9</v>
      </c>
      <c r="D41" s="28">
        <v>9</v>
      </c>
      <c r="E41" s="28">
        <v>9</v>
      </c>
      <c r="F41" s="29">
        <v>1</v>
      </c>
      <c r="G41" s="29">
        <v>0.864406764507294</v>
      </c>
      <c r="H41" s="29">
        <v>0.675675690174103</v>
      </c>
      <c r="I41" s="28">
        <v>105</v>
      </c>
      <c r="J41" s="29">
        <v>0.858</v>
      </c>
      <c r="K41" s="28">
        <v>218693</v>
      </c>
      <c r="L41" s="28" t="s">
        <v>62</v>
      </c>
      <c r="M41" s="28" t="s">
        <v>63</v>
      </c>
      <c r="N41" s="28">
        <v>475</v>
      </c>
      <c r="O41" s="28" t="s">
        <v>64</v>
      </c>
      <c r="P41" s="28" t="s">
        <v>67</v>
      </c>
    </row>
    <row r="42" ht="18" customHeight="1" spans="1:16">
      <c r="A42" s="28" t="s">
        <v>55</v>
      </c>
      <c r="B42" s="28" t="s">
        <v>61</v>
      </c>
      <c r="C42" s="28">
        <v>0</v>
      </c>
      <c r="D42" s="28">
        <v>0</v>
      </c>
      <c r="E42" s="28">
        <v>0</v>
      </c>
      <c r="F42" s="29">
        <v>0.931034505367279</v>
      </c>
      <c r="G42" s="29">
        <v>0.796610176563263</v>
      </c>
      <c r="H42" s="29">
        <v>0.810810804367065</v>
      </c>
      <c r="I42" s="28">
        <v>50</v>
      </c>
      <c r="J42" s="29">
        <v>0.573</v>
      </c>
      <c r="K42" s="28">
        <v>218693</v>
      </c>
      <c r="L42" s="28" t="s">
        <v>62</v>
      </c>
      <c r="M42" s="28" t="s">
        <v>63</v>
      </c>
      <c r="N42" s="28">
        <v>483</v>
      </c>
      <c r="O42" s="28" t="s">
        <v>64</v>
      </c>
      <c r="P42" s="28" t="s">
        <v>67</v>
      </c>
    </row>
    <row r="43" ht="18" customHeight="1" spans="1:16">
      <c r="A43" s="28" t="s">
        <v>55</v>
      </c>
      <c r="B43" s="28" t="s">
        <v>61</v>
      </c>
      <c r="C43" s="28">
        <v>1</v>
      </c>
      <c r="D43" s="28">
        <v>1</v>
      </c>
      <c r="E43" s="28">
        <v>1</v>
      </c>
      <c r="F43" s="29">
        <v>0.977011501789093</v>
      </c>
      <c r="G43" s="29">
        <v>0.745762705802917</v>
      </c>
      <c r="H43" s="29">
        <v>0.837837815284729</v>
      </c>
      <c r="I43" s="28">
        <v>70</v>
      </c>
      <c r="J43" s="29">
        <v>0.668</v>
      </c>
      <c r="K43" s="28">
        <v>218693</v>
      </c>
      <c r="L43" s="28" t="s">
        <v>62</v>
      </c>
      <c r="M43" s="28" t="s">
        <v>63</v>
      </c>
      <c r="N43" s="28">
        <v>491</v>
      </c>
      <c r="O43" s="28" t="s">
        <v>64</v>
      </c>
      <c r="P43" s="28" t="s">
        <v>67</v>
      </c>
    </row>
    <row r="44" ht="18" customHeight="1" spans="1:16">
      <c r="A44" s="28" t="s">
        <v>55</v>
      </c>
      <c r="B44" s="28" t="s">
        <v>61</v>
      </c>
      <c r="C44" s="28">
        <v>2</v>
      </c>
      <c r="D44" s="28">
        <v>2</v>
      </c>
      <c r="E44" s="28">
        <v>2</v>
      </c>
      <c r="F44" s="29">
        <v>1</v>
      </c>
      <c r="G44" s="29">
        <v>0.898305058479309</v>
      </c>
      <c r="H44" s="29">
        <v>0.702702701091766</v>
      </c>
      <c r="I44" s="28">
        <v>115</v>
      </c>
      <c r="J44" s="29">
        <v>0.926</v>
      </c>
      <c r="K44" s="28">
        <v>218693</v>
      </c>
      <c r="L44" s="28" t="s">
        <v>62</v>
      </c>
      <c r="M44" s="28" t="s">
        <v>63</v>
      </c>
      <c r="N44" s="28">
        <v>499</v>
      </c>
      <c r="O44" s="28" t="s">
        <v>64</v>
      </c>
      <c r="P44" s="28" t="s">
        <v>67</v>
      </c>
    </row>
    <row r="45" ht="18" customHeight="1" spans="1:16">
      <c r="A45" s="28" t="s">
        <v>55</v>
      </c>
      <c r="B45" s="28" t="s">
        <v>61</v>
      </c>
      <c r="C45" s="28">
        <v>3</v>
      </c>
      <c r="D45" s="28">
        <v>3</v>
      </c>
      <c r="E45" s="28">
        <v>3</v>
      </c>
      <c r="F45" s="29">
        <v>0.908045947551727</v>
      </c>
      <c r="G45" s="29">
        <v>0.796610176563263</v>
      </c>
      <c r="H45" s="29">
        <v>0.675675690174103</v>
      </c>
      <c r="I45" s="28">
        <v>60</v>
      </c>
      <c r="J45" s="29">
        <v>0.64</v>
      </c>
      <c r="K45" s="28">
        <v>218693</v>
      </c>
      <c r="L45" s="28" t="s">
        <v>62</v>
      </c>
      <c r="M45" s="28" t="s">
        <v>63</v>
      </c>
      <c r="N45" s="28">
        <v>507</v>
      </c>
      <c r="O45" s="28" t="s">
        <v>64</v>
      </c>
      <c r="P45" s="28" t="s">
        <v>67</v>
      </c>
    </row>
    <row r="46" ht="18" customHeight="1" spans="1:16">
      <c r="A46" s="28" t="s">
        <v>55</v>
      </c>
      <c r="B46" s="28" t="s">
        <v>61</v>
      </c>
      <c r="C46" s="28">
        <v>4</v>
      </c>
      <c r="D46" s="28">
        <v>4</v>
      </c>
      <c r="E46" s="28">
        <v>4</v>
      </c>
      <c r="F46" s="29">
        <v>0.988505721092224</v>
      </c>
      <c r="G46" s="29">
        <v>0.898305058479309</v>
      </c>
      <c r="H46" s="29">
        <v>0.918918907642365</v>
      </c>
      <c r="I46" s="28">
        <v>115</v>
      </c>
      <c r="J46" s="29">
        <v>0.918</v>
      </c>
      <c r="K46" s="28">
        <v>218693</v>
      </c>
      <c r="L46" s="28" t="s">
        <v>62</v>
      </c>
      <c r="M46" s="28" t="s">
        <v>63</v>
      </c>
      <c r="N46" s="28">
        <v>515</v>
      </c>
      <c r="O46" s="28" t="s">
        <v>64</v>
      </c>
      <c r="P46" s="28" t="s">
        <v>67</v>
      </c>
    </row>
    <row r="47" ht="18" customHeight="1" spans="1:16">
      <c r="A47" s="28" t="s">
        <v>55</v>
      </c>
      <c r="B47" s="28" t="s">
        <v>61</v>
      </c>
      <c r="C47" s="28">
        <v>5</v>
      </c>
      <c r="D47" s="28">
        <v>5</v>
      </c>
      <c r="E47" s="28">
        <v>5</v>
      </c>
      <c r="F47" s="29">
        <v>0.988505721092224</v>
      </c>
      <c r="G47" s="29">
        <v>0.881355941295624</v>
      </c>
      <c r="H47" s="29">
        <v>0.810810804367065</v>
      </c>
      <c r="I47" s="28">
        <v>100</v>
      </c>
      <c r="J47" s="29">
        <v>0.84</v>
      </c>
      <c r="K47" s="28">
        <v>218693</v>
      </c>
      <c r="L47" s="28" t="s">
        <v>62</v>
      </c>
      <c r="M47" s="28" t="s">
        <v>63</v>
      </c>
      <c r="N47" s="28">
        <v>523</v>
      </c>
      <c r="O47" s="28" t="s">
        <v>64</v>
      </c>
      <c r="P47" s="28" t="s">
        <v>67</v>
      </c>
    </row>
    <row r="48" ht="18" customHeight="1" spans="1:16">
      <c r="A48" s="28" t="s">
        <v>55</v>
      </c>
      <c r="B48" s="28" t="s">
        <v>61</v>
      </c>
      <c r="C48" s="28">
        <v>6</v>
      </c>
      <c r="D48" s="28">
        <v>6</v>
      </c>
      <c r="E48" s="28">
        <v>6</v>
      </c>
      <c r="F48" s="29">
        <v>0.931034505367279</v>
      </c>
      <c r="G48" s="29">
        <v>0.847457647323608</v>
      </c>
      <c r="H48" s="29">
        <v>0.675675690174103</v>
      </c>
      <c r="I48" s="28">
        <v>65</v>
      </c>
      <c r="J48" s="29">
        <v>0.646</v>
      </c>
      <c r="K48" s="28">
        <v>218693</v>
      </c>
      <c r="L48" s="28" t="s">
        <v>62</v>
      </c>
      <c r="M48" s="28" t="s">
        <v>63</v>
      </c>
      <c r="N48" s="28">
        <v>531</v>
      </c>
      <c r="O48" s="28" t="s">
        <v>64</v>
      </c>
      <c r="P48" s="28" t="s">
        <v>67</v>
      </c>
    </row>
    <row r="49" ht="18" customHeight="1" spans="1:16">
      <c r="A49" s="28" t="s">
        <v>55</v>
      </c>
      <c r="B49" s="28" t="s">
        <v>61</v>
      </c>
      <c r="C49" s="28">
        <v>7</v>
      </c>
      <c r="D49" s="28">
        <v>7</v>
      </c>
      <c r="E49" s="28">
        <v>7</v>
      </c>
      <c r="F49" s="29">
        <v>1</v>
      </c>
      <c r="G49" s="29">
        <v>0.847457647323608</v>
      </c>
      <c r="H49" s="29">
        <v>0.756756782531738</v>
      </c>
      <c r="I49" s="28">
        <v>80</v>
      </c>
      <c r="J49" s="29">
        <v>0.738</v>
      </c>
      <c r="K49" s="28">
        <v>218693</v>
      </c>
      <c r="L49" s="28" t="s">
        <v>62</v>
      </c>
      <c r="M49" s="28" t="s">
        <v>63</v>
      </c>
      <c r="N49" s="28">
        <v>539</v>
      </c>
      <c r="O49" s="28" t="s">
        <v>64</v>
      </c>
      <c r="P49" s="28" t="s">
        <v>67</v>
      </c>
    </row>
    <row r="50" ht="18" customHeight="1" spans="1:16">
      <c r="A50" s="28" t="s">
        <v>55</v>
      </c>
      <c r="B50" s="28" t="s">
        <v>61</v>
      </c>
      <c r="C50" s="28">
        <v>8</v>
      </c>
      <c r="D50" s="28">
        <v>8</v>
      </c>
      <c r="E50" s="28">
        <v>8</v>
      </c>
      <c r="F50" s="29">
        <v>0.988505721092224</v>
      </c>
      <c r="G50" s="29">
        <v>0.779660999774933</v>
      </c>
      <c r="H50" s="29">
        <v>0.837837815284729</v>
      </c>
      <c r="I50" s="28">
        <v>125</v>
      </c>
      <c r="J50" s="29">
        <v>0.97</v>
      </c>
      <c r="K50" s="28">
        <v>218693</v>
      </c>
      <c r="L50" s="28" t="s">
        <v>62</v>
      </c>
      <c r="M50" s="28" t="s">
        <v>63</v>
      </c>
      <c r="N50" s="28">
        <v>547</v>
      </c>
      <c r="O50" s="28" t="s">
        <v>64</v>
      </c>
      <c r="P50" s="28" t="s">
        <v>67</v>
      </c>
    </row>
    <row r="51" ht="18" customHeight="1" spans="1:16">
      <c r="A51" s="28" t="s">
        <v>55</v>
      </c>
      <c r="B51" s="28" t="s">
        <v>61</v>
      </c>
      <c r="C51" s="28">
        <v>9</v>
      </c>
      <c r="D51" s="28">
        <v>9</v>
      </c>
      <c r="E51" s="28">
        <v>9</v>
      </c>
      <c r="F51" s="29">
        <v>0.988505721092224</v>
      </c>
      <c r="G51" s="29">
        <v>0.728813588619232</v>
      </c>
      <c r="H51" s="29">
        <v>0.810810804367065</v>
      </c>
      <c r="I51" s="28">
        <v>155</v>
      </c>
      <c r="J51" s="29">
        <v>1.109</v>
      </c>
      <c r="K51" s="28">
        <v>218693</v>
      </c>
      <c r="L51" s="28" t="s">
        <v>62</v>
      </c>
      <c r="M51" s="28" t="s">
        <v>63</v>
      </c>
      <c r="N51" s="28">
        <v>555</v>
      </c>
      <c r="O51" s="28" t="s">
        <v>64</v>
      </c>
      <c r="P51" s="28" t="s">
        <v>67</v>
      </c>
    </row>
    <row r="52" ht="18" customHeight="1" spans="1:16">
      <c r="A52" s="28" t="s">
        <v>56</v>
      </c>
      <c r="B52" s="28" t="s">
        <v>61</v>
      </c>
      <c r="C52" s="28">
        <v>0</v>
      </c>
      <c r="D52" s="28">
        <v>0</v>
      </c>
      <c r="E52" s="28">
        <v>0</v>
      </c>
      <c r="F52" s="29">
        <v>0.991666674613953</v>
      </c>
      <c r="G52" s="29">
        <v>0.824999988079071</v>
      </c>
      <c r="H52" s="29">
        <v>0.823529422283173</v>
      </c>
      <c r="I52" s="28">
        <v>120</v>
      </c>
      <c r="J52" s="29">
        <v>1.163</v>
      </c>
      <c r="K52" s="28">
        <v>218693</v>
      </c>
      <c r="L52" s="28" t="s">
        <v>62</v>
      </c>
      <c r="M52" s="28" t="s">
        <v>63</v>
      </c>
      <c r="N52" s="28">
        <v>563</v>
      </c>
      <c r="O52" s="28" t="s">
        <v>64</v>
      </c>
      <c r="P52" s="28" t="s">
        <v>67</v>
      </c>
    </row>
    <row r="53" ht="18" customHeight="1" spans="1:16">
      <c r="A53" s="28" t="s">
        <v>56</v>
      </c>
      <c r="B53" s="28" t="s">
        <v>61</v>
      </c>
      <c r="C53" s="28">
        <v>1</v>
      </c>
      <c r="D53" s="28">
        <v>1</v>
      </c>
      <c r="E53" s="28">
        <v>1</v>
      </c>
      <c r="F53" s="29">
        <v>0.991666674613953</v>
      </c>
      <c r="G53" s="29">
        <v>0.8125</v>
      </c>
      <c r="H53" s="29">
        <v>0.843137264251709</v>
      </c>
      <c r="I53" s="28">
        <v>190</v>
      </c>
      <c r="J53" s="29">
        <v>1.617</v>
      </c>
      <c r="K53" s="28">
        <v>218693</v>
      </c>
      <c r="L53" s="28" t="s">
        <v>62</v>
      </c>
      <c r="M53" s="28" t="s">
        <v>63</v>
      </c>
      <c r="N53" s="28">
        <v>571</v>
      </c>
      <c r="O53" s="28" t="s">
        <v>64</v>
      </c>
      <c r="P53" s="28" t="s">
        <v>67</v>
      </c>
    </row>
    <row r="54" ht="18" customHeight="1" spans="1:16">
      <c r="A54" s="28" t="s">
        <v>56</v>
      </c>
      <c r="B54" s="28" t="s">
        <v>61</v>
      </c>
      <c r="C54" s="28">
        <v>2</v>
      </c>
      <c r="D54" s="28">
        <v>2</v>
      </c>
      <c r="E54" s="28">
        <v>2</v>
      </c>
      <c r="F54" s="29">
        <v>1</v>
      </c>
      <c r="G54" s="29">
        <v>0.887499988079071</v>
      </c>
      <c r="H54" s="29">
        <v>0.823529422283173</v>
      </c>
      <c r="I54" s="28">
        <v>225</v>
      </c>
      <c r="J54" s="29">
        <v>1.839</v>
      </c>
      <c r="K54" s="28">
        <v>218693</v>
      </c>
      <c r="L54" s="28" t="s">
        <v>62</v>
      </c>
      <c r="M54" s="28" t="s">
        <v>63</v>
      </c>
      <c r="N54" s="28">
        <v>579</v>
      </c>
      <c r="O54" s="28" t="s">
        <v>64</v>
      </c>
      <c r="P54" s="28" t="s">
        <v>67</v>
      </c>
    </row>
    <row r="55" ht="18" customHeight="1" spans="1:16">
      <c r="A55" s="28" t="s">
        <v>56</v>
      </c>
      <c r="B55" s="28" t="s">
        <v>61</v>
      </c>
      <c r="C55" s="28">
        <v>3</v>
      </c>
      <c r="D55" s="28">
        <v>3</v>
      </c>
      <c r="E55" s="28">
        <v>3</v>
      </c>
      <c r="F55" s="29">
        <v>0.975000023841858</v>
      </c>
      <c r="G55" s="29">
        <v>0.875</v>
      </c>
      <c r="H55" s="29">
        <v>0.803921580314636</v>
      </c>
      <c r="I55" s="28">
        <v>95</v>
      </c>
      <c r="J55" s="29">
        <v>0.973</v>
      </c>
      <c r="K55" s="28">
        <v>218693</v>
      </c>
      <c r="L55" s="28" t="s">
        <v>62</v>
      </c>
      <c r="M55" s="28" t="s">
        <v>63</v>
      </c>
      <c r="N55" s="28">
        <v>587</v>
      </c>
      <c r="O55" s="28" t="s">
        <v>64</v>
      </c>
      <c r="P55" s="28" t="s">
        <v>67</v>
      </c>
    </row>
    <row r="56" ht="18" customHeight="1" spans="1:16">
      <c r="A56" s="28" t="s">
        <v>56</v>
      </c>
      <c r="B56" s="28" t="s">
        <v>61</v>
      </c>
      <c r="C56" s="28">
        <v>4</v>
      </c>
      <c r="D56" s="28">
        <v>4</v>
      </c>
      <c r="E56" s="28">
        <v>4</v>
      </c>
      <c r="F56" s="29">
        <v>0.850000023841858</v>
      </c>
      <c r="G56" s="29">
        <v>0.75</v>
      </c>
      <c r="H56" s="29">
        <v>0.745098054409027</v>
      </c>
      <c r="I56" s="28">
        <v>50</v>
      </c>
      <c r="J56" s="29">
        <v>0.687</v>
      </c>
      <c r="K56" s="28">
        <v>218693</v>
      </c>
      <c r="L56" s="28" t="s">
        <v>62</v>
      </c>
      <c r="M56" s="28" t="s">
        <v>63</v>
      </c>
      <c r="N56" s="28">
        <v>595</v>
      </c>
      <c r="O56" s="28" t="s">
        <v>64</v>
      </c>
      <c r="P56" s="28" t="s">
        <v>67</v>
      </c>
    </row>
    <row r="57" ht="18" customHeight="1" spans="1:16">
      <c r="A57" s="28" t="s">
        <v>56</v>
      </c>
      <c r="B57" s="28" t="s">
        <v>61</v>
      </c>
      <c r="C57" s="28">
        <v>5</v>
      </c>
      <c r="D57" s="28">
        <v>5</v>
      </c>
      <c r="E57" s="28">
        <v>5</v>
      </c>
      <c r="F57" s="29">
        <v>1</v>
      </c>
      <c r="G57" s="29">
        <v>0.787500023841858</v>
      </c>
      <c r="H57" s="29">
        <v>0.843137264251709</v>
      </c>
      <c r="I57" s="28">
        <v>110</v>
      </c>
      <c r="J57" s="29">
        <v>1.088</v>
      </c>
      <c r="K57" s="28">
        <v>218693</v>
      </c>
      <c r="L57" s="28" t="s">
        <v>62</v>
      </c>
      <c r="M57" s="28" t="s">
        <v>63</v>
      </c>
      <c r="N57" s="28">
        <v>603</v>
      </c>
      <c r="O57" s="28" t="s">
        <v>64</v>
      </c>
      <c r="P57" s="28" t="s">
        <v>67</v>
      </c>
    </row>
    <row r="58" ht="18" customHeight="1" spans="1:16">
      <c r="A58" s="28" t="s">
        <v>56</v>
      </c>
      <c r="B58" s="28" t="s">
        <v>61</v>
      </c>
      <c r="C58" s="28">
        <v>6</v>
      </c>
      <c r="D58" s="28">
        <v>6</v>
      </c>
      <c r="E58" s="28">
        <v>6</v>
      </c>
      <c r="F58" s="29">
        <v>0.983333349227905</v>
      </c>
      <c r="G58" s="29">
        <v>0.837499976158142</v>
      </c>
      <c r="H58" s="29">
        <v>0.862745106220245</v>
      </c>
      <c r="I58" s="28">
        <v>115</v>
      </c>
      <c r="J58" s="29">
        <v>1.082</v>
      </c>
      <c r="K58" s="28">
        <v>218693</v>
      </c>
      <c r="L58" s="28" t="s">
        <v>62</v>
      </c>
      <c r="M58" s="28" t="s">
        <v>63</v>
      </c>
      <c r="N58" s="28">
        <v>611</v>
      </c>
      <c r="O58" s="28" t="s">
        <v>64</v>
      </c>
      <c r="P58" s="28" t="s">
        <v>67</v>
      </c>
    </row>
    <row r="59" ht="18" customHeight="1" spans="1:16">
      <c r="A59" s="28" t="s">
        <v>56</v>
      </c>
      <c r="B59" s="28" t="s">
        <v>61</v>
      </c>
      <c r="C59" s="28">
        <v>7</v>
      </c>
      <c r="D59" s="28">
        <v>7</v>
      </c>
      <c r="E59" s="28">
        <v>7</v>
      </c>
      <c r="F59" s="29">
        <v>0.991666674613953</v>
      </c>
      <c r="G59" s="29">
        <v>0.837499976158142</v>
      </c>
      <c r="H59" s="29">
        <v>0.823529422283173</v>
      </c>
      <c r="I59" s="28">
        <v>175</v>
      </c>
      <c r="J59" s="29">
        <v>1.475</v>
      </c>
      <c r="K59" s="28">
        <v>218693</v>
      </c>
      <c r="L59" s="28" t="s">
        <v>62</v>
      </c>
      <c r="M59" s="28" t="s">
        <v>63</v>
      </c>
      <c r="N59" s="28">
        <v>619</v>
      </c>
      <c r="O59" s="28" t="s">
        <v>64</v>
      </c>
      <c r="P59" s="28" t="s">
        <v>67</v>
      </c>
    </row>
    <row r="60" ht="18" customHeight="1" spans="1:16">
      <c r="A60" s="28" t="s">
        <v>56</v>
      </c>
      <c r="B60" s="28" t="s">
        <v>61</v>
      </c>
      <c r="C60" s="28">
        <v>8</v>
      </c>
      <c r="D60" s="28">
        <v>8</v>
      </c>
      <c r="E60" s="28">
        <v>8</v>
      </c>
      <c r="F60" s="29">
        <v>1</v>
      </c>
      <c r="G60" s="29">
        <v>0.787500023841858</v>
      </c>
      <c r="H60" s="29">
        <v>0.823529422283173</v>
      </c>
      <c r="I60" s="28">
        <v>155</v>
      </c>
      <c r="J60" s="29">
        <v>1.387</v>
      </c>
      <c r="K60" s="28">
        <v>218693</v>
      </c>
      <c r="L60" s="28" t="s">
        <v>62</v>
      </c>
      <c r="M60" s="28" t="s">
        <v>63</v>
      </c>
      <c r="N60" s="28">
        <v>627</v>
      </c>
      <c r="O60" s="28" t="s">
        <v>64</v>
      </c>
      <c r="P60" s="28" t="s">
        <v>67</v>
      </c>
    </row>
    <row r="61" ht="18" customHeight="1" spans="1:16">
      <c r="A61" s="28" t="s">
        <v>56</v>
      </c>
      <c r="B61" s="28" t="s">
        <v>61</v>
      </c>
      <c r="C61" s="28">
        <v>9</v>
      </c>
      <c r="D61" s="28">
        <v>9</v>
      </c>
      <c r="E61" s="28">
        <v>9</v>
      </c>
      <c r="F61" s="29">
        <v>1</v>
      </c>
      <c r="G61" s="29">
        <v>0.8125</v>
      </c>
      <c r="H61" s="29">
        <v>0.803921580314636</v>
      </c>
      <c r="I61" s="28">
        <v>205</v>
      </c>
      <c r="J61" s="29">
        <v>1.707</v>
      </c>
      <c r="K61" s="28">
        <v>218693</v>
      </c>
      <c r="L61" s="28" t="s">
        <v>62</v>
      </c>
      <c r="M61" s="28" t="s">
        <v>63</v>
      </c>
      <c r="N61" s="28">
        <v>635</v>
      </c>
      <c r="O61" s="28" t="s">
        <v>64</v>
      </c>
      <c r="P61" s="28" t="s">
        <v>67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showGridLines="0" workbookViewId="0">
      <selection activeCell="A1" sqref="A1"/>
    </sheetView>
  </sheetViews>
  <sheetFormatPr defaultColWidth="9" defaultRowHeight="14.5"/>
  <cols>
    <col min="1" max="2" width="18" customWidth="1"/>
    <col min="3" max="3" width="8" customWidth="1"/>
    <col min="4" max="4" width="15" customWidth="1"/>
    <col min="5" max="5" width="14" customWidth="1"/>
    <col min="6" max="6" width="15" customWidth="1"/>
    <col min="7" max="7" width="14" customWidth="1"/>
    <col min="8" max="8" width="16" customWidth="1"/>
    <col min="9" max="9" width="14" customWidth="1"/>
    <col min="10" max="10" width="22" customWidth="1"/>
  </cols>
  <sheetData>
    <row r="1" ht="18" customHeight="1" spans="1:10">
      <c r="A1" s="26" t="s">
        <v>7</v>
      </c>
      <c r="B1" s="26" t="s">
        <v>57</v>
      </c>
      <c r="C1" s="26" t="s">
        <v>5</v>
      </c>
      <c r="D1" s="26" t="s">
        <v>68</v>
      </c>
      <c r="E1" s="26" t="s">
        <v>69</v>
      </c>
      <c r="F1" s="26" t="s">
        <v>70</v>
      </c>
      <c r="G1" s="26" t="s">
        <v>71</v>
      </c>
      <c r="H1" s="26" t="s">
        <v>72</v>
      </c>
      <c r="I1" s="26" t="s">
        <v>73</v>
      </c>
      <c r="J1" s="26" t="s">
        <v>74</v>
      </c>
    </row>
    <row r="2" ht="18" customHeight="1" spans="1:10">
      <c r="A2" s="21" t="s">
        <v>27</v>
      </c>
      <c r="B2" s="21" t="s">
        <v>75</v>
      </c>
      <c r="C2" s="21">
        <v>10</v>
      </c>
      <c r="D2" s="22">
        <v>95.8499991893768</v>
      </c>
      <c r="E2" s="22">
        <v>1.20300588967903</v>
      </c>
      <c r="F2" s="22">
        <v>85.5000001192093</v>
      </c>
      <c r="G2" s="22">
        <v>2.39469585168393</v>
      </c>
      <c r="H2" s="22">
        <v>77.45849609375</v>
      </c>
      <c r="I2" s="22">
        <v>1.87492791721715</v>
      </c>
      <c r="J2" s="22" t="s">
        <v>76</v>
      </c>
    </row>
    <row r="3" ht="18" customHeight="1" spans="1:10">
      <c r="A3" s="21" t="s">
        <v>27</v>
      </c>
      <c r="B3" s="21" t="s">
        <v>77</v>
      </c>
      <c r="C3" s="21">
        <v>10</v>
      </c>
      <c r="D3" s="22">
        <v>99.8500001430511</v>
      </c>
      <c r="E3" s="22">
        <v>0.241522715435594</v>
      </c>
      <c r="F3" s="22">
        <v>84.7333335876465</v>
      </c>
      <c r="G3" s="22">
        <v>1.87115952189854</v>
      </c>
      <c r="H3" s="22">
        <v>76.3537585735321</v>
      </c>
      <c r="I3" s="22">
        <v>2.17343310298219</v>
      </c>
      <c r="J3" s="22" t="s">
        <v>41</v>
      </c>
    </row>
    <row r="4" ht="18" customHeight="1" spans="1:10">
      <c r="A4" s="21" t="s">
        <v>27</v>
      </c>
      <c r="B4" s="21" t="s">
        <v>78</v>
      </c>
      <c r="C4" s="21">
        <v>10</v>
      </c>
      <c r="D4" s="22">
        <v>97.5000011920929</v>
      </c>
      <c r="E4" s="22">
        <v>1.24722006348604</v>
      </c>
      <c r="F4" s="22">
        <v>83.6666667461395</v>
      </c>
      <c r="G4" s="22">
        <v>2.58198882907299</v>
      </c>
      <c r="H4" s="22">
        <v>74.8121041059494</v>
      </c>
      <c r="I4" s="22">
        <v>1.78713469470202</v>
      </c>
      <c r="J4" s="22" t="s">
        <v>41</v>
      </c>
    </row>
    <row r="5" ht="18" customHeight="1" spans="1:10">
      <c r="A5" s="21" t="s">
        <v>27</v>
      </c>
      <c r="B5" s="21" t="s">
        <v>79</v>
      </c>
      <c r="C5" s="21">
        <v>10</v>
      </c>
      <c r="D5" s="22">
        <v>77.7499997615814</v>
      </c>
      <c r="E5" s="22">
        <v>8.8827229881792</v>
      </c>
      <c r="F5" s="22">
        <v>74.7666662931442</v>
      </c>
      <c r="G5" s="22">
        <v>5.13532980128359</v>
      </c>
      <c r="H5" s="22">
        <v>69.7298520803452</v>
      </c>
      <c r="I5" s="22">
        <v>5.12253119708171</v>
      </c>
      <c r="J5" s="22" t="s">
        <v>41</v>
      </c>
    </row>
    <row r="6" ht="18" customHeight="1" spans="1:10">
      <c r="A6" s="21" t="s">
        <v>27</v>
      </c>
      <c r="B6" s="21" t="s">
        <v>80</v>
      </c>
      <c r="C6" s="21">
        <v>10</v>
      </c>
      <c r="D6" s="22">
        <v>73.7000000476837</v>
      </c>
      <c r="E6" s="22">
        <v>4.54116965441282</v>
      </c>
      <c r="F6" s="22">
        <v>71.5000009536743</v>
      </c>
      <c r="G6" s="22">
        <v>3.9542132248751</v>
      </c>
      <c r="H6" s="22">
        <v>67.5618779659271</v>
      </c>
      <c r="I6" s="22">
        <v>3.93545989447727</v>
      </c>
      <c r="J6" s="22" t="s">
        <v>41</v>
      </c>
    </row>
    <row r="7" ht="18" customHeight="1" spans="1:10">
      <c r="A7" s="21" t="s">
        <v>27</v>
      </c>
      <c r="B7" s="21" t="s">
        <v>81</v>
      </c>
      <c r="C7" s="21">
        <v>10</v>
      </c>
      <c r="D7" s="22">
        <v>74.3500006198883</v>
      </c>
      <c r="E7" s="22">
        <v>5.22839420788665</v>
      </c>
      <c r="F7" s="22">
        <v>71.8999987840652</v>
      </c>
      <c r="G7" s="22">
        <v>3.67524367058343</v>
      </c>
      <c r="H7" s="22">
        <v>67.3966205120087</v>
      </c>
      <c r="I7" s="22">
        <v>3.95245586658323</v>
      </c>
      <c r="J7" s="22" t="s">
        <v>41</v>
      </c>
    </row>
    <row r="8" ht="18" customHeight="1" spans="1:10">
      <c r="A8" s="21" t="s">
        <v>27</v>
      </c>
      <c r="B8" s="21" t="s">
        <v>82</v>
      </c>
      <c r="C8" s="21">
        <v>10</v>
      </c>
      <c r="D8" s="22">
        <v>99.9500000476837</v>
      </c>
      <c r="E8" s="22">
        <v>0.15811373221927</v>
      </c>
      <c r="F8" s="22">
        <v>66.2666666507721</v>
      </c>
      <c r="G8" s="22">
        <v>2.90082985793296</v>
      </c>
      <c r="H8" s="22">
        <v>48.9428013563156</v>
      </c>
      <c r="I8" s="22">
        <v>7.13996333820569</v>
      </c>
      <c r="J8" s="22" t="s">
        <v>41</v>
      </c>
    </row>
    <row r="9" ht="18" customHeight="1" spans="1:10">
      <c r="A9" s="21" t="s">
        <v>27</v>
      </c>
      <c r="B9" s="21" t="s">
        <v>83</v>
      </c>
      <c r="C9" s="21">
        <v>10</v>
      </c>
      <c r="D9" s="22">
        <v>32.5499998778105</v>
      </c>
      <c r="E9" s="22">
        <v>12.8418804541231</v>
      </c>
      <c r="F9" s="22">
        <v>33.233333081007</v>
      </c>
      <c r="G9" s="22">
        <v>11.8322114099629</v>
      </c>
      <c r="H9" s="22">
        <v>27.3030485957861</v>
      </c>
      <c r="I9" s="22">
        <v>14.7979028748069</v>
      </c>
      <c r="J9" s="22" t="s">
        <v>41</v>
      </c>
    </row>
    <row r="10" ht="18" customHeight="1" spans="1:10">
      <c r="A10" s="21" t="s">
        <v>36</v>
      </c>
      <c r="B10" s="21" t="s">
        <v>75</v>
      </c>
      <c r="C10" s="21">
        <v>10</v>
      </c>
      <c r="D10" s="22">
        <v>98.7500005960464</v>
      </c>
      <c r="E10" s="22">
        <v>0.883882633547107</v>
      </c>
      <c r="F10" s="22">
        <v>90.9999996423721</v>
      </c>
      <c r="G10" s="22">
        <v>1.24536323637433</v>
      </c>
      <c r="H10" s="22">
        <v>87.586207985878</v>
      </c>
      <c r="I10" s="22">
        <v>1.32727960536594</v>
      </c>
      <c r="J10" s="22" t="s">
        <v>76</v>
      </c>
    </row>
    <row r="11" ht="18" customHeight="1" spans="1:10">
      <c r="A11" s="21" t="s">
        <v>36</v>
      </c>
      <c r="B11" s="21" t="s">
        <v>77</v>
      </c>
      <c r="C11" s="21">
        <v>10</v>
      </c>
      <c r="D11" s="22">
        <v>99.9374997615814</v>
      </c>
      <c r="E11" s="22">
        <v>0.19764310770627</v>
      </c>
      <c r="F11" s="22">
        <v>89.9999988079071</v>
      </c>
      <c r="G11" s="22">
        <v>1.49587971570135</v>
      </c>
      <c r="H11" s="22">
        <v>86.2441378831863</v>
      </c>
      <c r="I11" s="22">
        <v>2.35544202295304</v>
      </c>
      <c r="J11" s="22" t="s">
        <v>41</v>
      </c>
    </row>
    <row r="12" ht="18" customHeight="1" spans="1:10">
      <c r="A12" s="21" t="s">
        <v>36</v>
      </c>
      <c r="B12" s="21" t="s">
        <v>79</v>
      </c>
      <c r="C12" s="21">
        <v>10</v>
      </c>
      <c r="D12" s="22">
        <v>90.4374992847443</v>
      </c>
      <c r="E12" s="22">
        <v>4.05099778152016</v>
      </c>
      <c r="F12" s="22">
        <v>86.6666674613953</v>
      </c>
      <c r="G12" s="22">
        <v>2.10635228123833</v>
      </c>
      <c r="H12" s="22">
        <v>84.6331030130386</v>
      </c>
      <c r="I12" s="22">
        <v>2.62916492644282</v>
      </c>
      <c r="J12" s="22" t="s">
        <v>41</v>
      </c>
    </row>
    <row r="13" ht="18" customHeight="1" spans="1:10">
      <c r="A13" s="21" t="s">
        <v>36</v>
      </c>
      <c r="B13" s="21" t="s">
        <v>78</v>
      </c>
      <c r="C13" s="21">
        <v>10</v>
      </c>
      <c r="D13" s="22">
        <v>98.3749997615814</v>
      </c>
      <c r="E13" s="22">
        <v>1.38819419918611</v>
      </c>
      <c r="F13" s="22">
        <v>88.4166663885117</v>
      </c>
      <c r="G13" s="22">
        <v>2.34718004417091</v>
      </c>
      <c r="H13" s="22">
        <v>84.235862493515</v>
      </c>
      <c r="I13" s="22">
        <v>2.07603902702869</v>
      </c>
      <c r="J13" s="22" t="s">
        <v>41</v>
      </c>
    </row>
    <row r="14" ht="18" customHeight="1" spans="1:10">
      <c r="A14" s="21" t="s">
        <v>36</v>
      </c>
      <c r="B14" s="21" t="s">
        <v>81</v>
      </c>
      <c r="C14" s="21">
        <v>10</v>
      </c>
      <c r="D14" s="22">
        <v>87.6875001192093</v>
      </c>
      <c r="E14" s="22">
        <v>3.79658445311532</v>
      </c>
      <c r="F14" s="22">
        <v>84.624999165535</v>
      </c>
      <c r="G14" s="22">
        <v>3.72910762452464</v>
      </c>
      <c r="H14" s="22">
        <v>83.5862076282501</v>
      </c>
      <c r="I14" s="22">
        <v>2.89821607051938</v>
      </c>
      <c r="J14" s="22" t="s">
        <v>41</v>
      </c>
    </row>
    <row r="15" ht="18" customHeight="1" spans="1:10">
      <c r="A15" s="21" t="s">
        <v>36</v>
      </c>
      <c r="B15" s="21" t="s">
        <v>80</v>
      </c>
      <c r="C15" s="21">
        <v>10</v>
      </c>
      <c r="D15" s="22">
        <v>87.2499996423721</v>
      </c>
      <c r="E15" s="22">
        <v>3.07882630803371</v>
      </c>
      <c r="F15" s="22">
        <v>83.7083345651627</v>
      </c>
      <c r="G15" s="22">
        <v>4.00351884501791</v>
      </c>
      <c r="H15" s="22">
        <v>83.0068957805634</v>
      </c>
      <c r="I15" s="22">
        <v>2.13051672474246</v>
      </c>
      <c r="J15" s="22" t="s">
        <v>41</v>
      </c>
    </row>
    <row r="16" ht="18" customHeight="1" spans="1:10">
      <c r="A16" s="21" t="s">
        <v>36</v>
      </c>
      <c r="B16" s="21" t="s">
        <v>82</v>
      </c>
      <c r="C16" s="21">
        <v>10</v>
      </c>
      <c r="D16" s="22">
        <v>100</v>
      </c>
      <c r="E16" s="22">
        <v>0</v>
      </c>
      <c r="F16" s="22">
        <v>73.5000002384186</v>
      </c>
      <c r="G16" s="22">
        <v>3.98782945476859</v>
      </c>
      <c r="H16" s="22">
        <v>64.2096549272537</v>
      </c>
      <c r="I16" s="22">
        <v>3.15943786373466</v>
      </c>
      <c r="J16" s="22" t="s">
        <v>41</v>
      </c>
    </row>
    <row r="17" ht="18" customHeight="1" spans="1:10">
      <c r="A17" s="21" t="s">
        <v>36</v>
      </c>
      <c r="B17" s="21" t="s">
        <v>83</v>
      </c>
      <c r="C17" s="21">
        <v>10</v>
      </c>
      <c r="D17" s="22">
        <v>64.9374997615814</v>
      </c>
      <c r="E17" s="22">
        <v>14.9142514577595</v>
      </c>
      <c r="F17" s="22">
        <v>61.2916669249535</v>
      </c>
      <c r="G17" s="22">
        <v>13.7344889809203</v>
      </c>
      <c r="H17" s="22">
        <v>57.4772414565086</v>
      </c>
      <c r="I17" s="22">
        <v>15.2073210608379</v>
      </c>
      <c r="J17" s="22" t="s">
        <v>41</v>
      </c>
    </row>
    <row r="18" ht="18" customHeight="1" spans="1:10">
      <c r="A18" s="21" t="s">
        <v>39</v>
      </c>
      <c r="B18" s="21" t="s">
        <v>82</v>
      </c>
      <c r="C18" s="21">
        <v>10</v>
      </c>
      <c r="D18" s="22">
        <v>99.8901093006134</v>
      </c>
      <c r="E18" s="22">
        <v>0.196880149710336</v>
      </c>
      <c r="F18" s="22">
        <v>72.5514388084412</v>
      </c>
      <c r="G18" s="22">
        <v>1.58981337697019</v>
      </c>
      <c r="H18" s="22">
        <v>71.2499994039536</v>
      </c>
      <c r="I18" s="22">
        <v>1.4853749737581</v>
      </c>
      <c r="J18" s="22" t="s">
        <v>76</v>
      </c>
    </row>
    <row r="19" ht="18" customHeight="1" spans="1:10">
      <c r="A19" s="21" t="s">
        <v>39</v>
      </c>
      <c r="B19" s="21" t="s">
        <v>75</v>
      </c>
      <c r="C19" s="21">
        <v>10</v>
      </c>
      <c r="D19" s="22">
        <v>98.4249079227448</v>
      </c>
      <c r="E19" s="22">
        <v>0.80043153756429</v>
      </c>
      <c r="F19" s="22">
        <v>60.3978049755096</v>
      </c>
      <c r="G19" s="22">
        <v>1.93351194614744</v>
      </c>
      <c r="H19" s="22">
        <v>60.2850884199143</v>
      </c>
      <c r="I19" s="22">
        <v>0.909787071121075</v>
      </c>
      <c r="J19" s="22" t="s">
        <v>41</v>
      </c>
    </row>
    <row r="20" ht="18" customHeight="1" spans="1:10">
      <c r="A20" s="21" t="s">
        <v>39</v>
      </c>
      <c r="B20" s="21" t="s">
        <v>79</v>
      </c>
      <c r="C20" s="21">
        <v>10</v>
      </c>
      <c r="D20" s="22">
        <v>67.7472513914108</v>
      </c>
      <c r="E20" s="22">
        <v>1.98191767436929</v>
      </c>
      <c r="F20" s="22">
        <v>58.984911441803</v>
      </c>
      <c r="G20" s="22">
        <v>1.01215959886274</v>
      </c>
      <c r="H20" s="22">
        <v>58.4649109840393</v>
      </c>
      <c r="I20" s="22">
        <v>1.17050475071632</v>
      </c>
      <c r="J20" s="22" t="s">
        <v>41</v>
      </c>
    </row>
    <row r="21" ht="18" customHeight="1" spans="1:10">
      <c r="A21" s="21" t="s">
        <v>39</v>
      </c>
      <c r="B21" s="21" t="s">
        <v>78</v>
      </c>
      <c r="C21" s="21">
        <v>10</v>
      </c>
      <c r="D21" s="22">
        <v>99.0659332275391</v>
      </c>
      <c r="E21" s="22">
        <v>0.415858618649124</v>
      </c>
      <c r="F21" s="22">
        <v>56.9410157203674</v>
      </c>
      <c r="G21" s="22">
        <v>2.28298856721151</v>
      </c>
      <c r="H21" s="22">
        <v>56.8640351295471</v>
      </c>
      <c r="I21" s="22">
        <v>1.78173662880916</v>
      </c>
      <c r="J21" s="22" t="s">
        <v>41</v>
      </c>
    </row>
    <row r="22" ht="18" customHeight="1" spans="1:10">
      <c r="A22" s="21" t="s">
        <v>39</v>
      </c>
      <c r="B22" s="21" t="s">
        <v>77</v>
      </c>
      <c r="C22" s="21">
        <v>10</v>
      </c>
      <c r="D22" s="22">
        <v>96.7857134342194</v>
      </c>
      <c r="E22" s="22">
        <v>0.560281764787031</v>
      </c>
      <c r="F22" s="22">
        <v>48.9437589049339</v>
      </c>
      <c r="G22" s="22">
        <v>1.41643367368676</v>
      </c>
      <c r="H22" s="22">
        <v>48.1798243522644</v>
      </c>
      <c r="I22" s="22">
        <v>3.5767207402827</v>
      </c>
      <c r="J22" s="22" t="s">
        <v>41</v>
      </c>
    </row>
    <row r="23" ht="18" customHeight="1" spans="1:10">
      <c r="A23" s="21" t="s">
        <v>39</v>
      </c>
      <c r="B23" s="21" t="s">
        <v>81</v>
      </c>
      <c r="C23" s="21">
        <v>10</v>
      </c>
      <c r="D23" s="22">
        <v>66.4560443162918</v>
      </c>
      <c r="E23" s="22">
        <v>3.82576135029942</v>
      </c>
      <c r="F23" s="22">
        <v>46.8587103486061</v>
      </c>
      <c r="G23" s="22">
        <v>1.27078589651287</v>
      </c>
      <c r="H23" s="22">
        <v>46.1842110753059</v>
      </c>
      <c r="I23" s="22">
        <v>1.93181678314962</v>
      </c>
      <c r="J23" s="22" t="s">
        <v>41</v>
      </c>
    </row>
    <row r="24" ht="18" customHeight="1" spans="1:10">
      <c r="A24" s="21" t="s">
        <v>39</v>
      </c>
      <c r="B24" s="21" t="s">
        <v>80</v>
      </c>
      <c r="C24" s="21">
        <v>10</v>
      </c>
      <c r="D24" s="22">
        <v>61.5750914812088</v>
      </c>
      <c r="E24" s="22">
        <v>2.73576534360275</v>
      </c>
      <c r="F24" s="22">
        <v>46.0219475626945</v>
      </c>
      <c r="G24" s="22">
        <v>1.23752771412159</v>
      </c>
      <c r="H24" s="22">
        <v>45.5482456088066</v>
      </c>
      <c r="I24" s="22">
        <v>2.43553855358168</v>
      </c>
      <c r="J24" s="22" t="s">
        <v>41</v>
      </c>
    </row>
    <row r="25" ht="18" customHeight="1" spans="1:10">
      <c r="A25" s="21" t="s">
        <v>39</v>
      </c>
      <c r="B25" s="21" t="s">
        <v>83</v>
      </c>
      <c r="C25" s="21">
        <v>10</v>
      </c>
      <c r="D25" s="22">
        <v>45.5769228935242</v>
      </c>
      <c r="E25" s="22">
        <v>2.7055754475162</v>
      </c>
      <c r="F25" s="22">
        <v>41.4403286576271</v>
      </c>
      <c r="G25" s="22">
        <v>1.53358581695879</v>
      </c>
      <c r="H25" s="22">
        <v>40.7456144690514</v>
      </c>
      <c r="I25" s="22">
        <v>2.30883058606917</v>
      </c>
      <c r="J25" s="22" t="s">
        <v>41</v>
      </c>
    </row>
    <row r="26" ht="18" customHeight="1" spans="1:10">
      <c r="A26" s="21" t="s">
        <v>53</v>
      </c>
      <c r="B26" s="21" t="s">
        <v>75</v>
      </c>
      <c r="C26" s="21">
        <v>10</v>
      </c>
      <c r="D26" s="22">
        <v>98.7356323003769</v>
      </c>
      <c r="E26" s="22">
        <v>1.91187290886751</v>
      </c>
      <c r="F26" s="22">
        <v>74.7457629442215</v>
      </c>
      <c r="G26" s="22">
        <v>6.56194698368021</v>
      </c>
      <c r="H26" s="22">
        <v>70.2702695131302</v>
      </c>
      <c r="I26" s="22">
        <v>5.69779827360999</v>
      </c>
      <c r="J26" s="22" t="s">
        <v>76</v>
      </c>
    </row>
    <row r="27" ht="18" customHeight="1" spans="1:10">
      <c r="A27" s="21" t="s">
        <v>53</v>
      </c>
      <c r="B27" s="21" t="s">
        <v>78</v>
      </c>
      <c r="C27" s="21">
        <v>10</v>
      </c>
      <c r="D27" s="22">
        <v>97.2413790225983</v>
      </c>
      <c r="E27" s="22">
        <v>2.72003612602191</v>
      </c>
      <c r="F27" s="22">
        <v>72.0338994264603</v>
      </c>
      <c r="G27" s="22">
        <v>6.04546101129712</v>
      </c>
      <c r="H27" s="22">
        <v>67.8378373384476</v>
      </c>
      <c r="I27" s="22">
        <v>4.49548629732172</v>
      </c>
      <c r="J27" s="22" t="s">
        <v>41</v>
      </c>
    </row>
    <row r="28" ht="18" customHeight="1" spans="1:10">
      <c r="A28" s="21" t="s">
        <v>53</v>
      </c>
      <c r="B28" s="21" t="s">
        <v>82</v>
      </c>
      <c r="C28" s="21">
        <v>10</v>
      </c>
      <c r="D28" s="22">
        <v>98.6206895112991</v>
      </c>
      <c r="E28" s="22">
        <v>3.33135098086327</v>
      </c>
      <c r="F28" s="22">
        <v>64.5762723684311</v>
      </c>
      <c r="G28" s="22">
        <v>6.10849113722716</v>
      </c>
      <c r="H28" s="22">
        <v>62.4324321746826</v>
      </c>
      <c r="I28" s="22">
        <v>6.29986761097276</v>
      </c>
      <c r="J28" s="22" t="s">
        <v>41</v>
      </c>
    </row>
    <row r="29" ht="18" customHeight="1" spans="1:10">
      <c r="A29" s="21" t="s">
        <v>53</v>
      </c>
      <c r="B29" s="21" t="s">
        <v>77</v>
      </c>
      <c r="C29" s="21">
        <v>10</v>
      </c>
      <c r="D29" s="22">
        <v>96.7816090583801</v>
      </c>
      <c r="E29" s="22">
        <v>1.93856014661047</v>
      </c>
      <c r="F29" s="22">
        <v>60.8474582433701</v>
      </c>
      <c r="G29" s="22">
        <v>8.28218593776798</v>
      </c>
      <c r="H29" s="22">
        <v>55.9459453821182</v>
      </c>
      <c r="I29" s="22">
        <v>12.1571557269813</v>
      </c>
      <c r="J29" s="22" t="s">
        <v>41</v>
      </c>
    </row>
    <row r="30" ht="18" customHeight="1" spans="1:10">
      <c r="A30" s="21" t="s">
        <v>53</v>
      </c>
      <c r="B30" s="21" t="s">
        <v>79</v>
      </c>
      <c r="C30" s="21">
        <v>10</v>
      </c>
      <c r="D30" s="22">
        <v>55.7471251487732</v>
      </c>
      <c r="E30" s="22">
        <v>6.32474184880645</v>
      </c>
      <c r="F30" s="22">
        <v>51.0169491171837</v>
      </c>
      <c r="G30" s="22">
        <v>9.22998533319439</v>
      </c>
      <c r="H30" s="22">
        <v>44.324324131012</v>
      </c>
      <c r="I30" s="22">
        <v>6.52142679202712</v>
      </c>
      <c r="J30" s="22" t="s">
        <v>41</v>
      </c>
    </row>
    <row r="31" ht="18" customHeight="1" spans="1:10">
      <c r="A31" s="21" t="s">
        <v>53</v>
      </c>
      <c r="B31" s="21" t="s">
        <v>80</v>
      </c>
      <c r="C31" s="21">
        <v>10</v>
      </c>
      <c r="D31" s="22">
        <v>44.1379314661026</v>
      </c>
      <c r="E31" s="22">
        <v>4.13367136937767</v>
      </c>
      <c r="F31" s="22">
        <v>47.1186444163322</v>
      </c>
      <c r="G31" s="22">
        <v>6.81722228458495</v>
      </c>
      <c r="H31" s="22">
        <v>42.7027025818825</v>
      </c>
      <c r="I31" s="22">
        <v>5.81063552397329</v>
      </c>
      <c r="J31" s="22" t="s">
        <v>41</v>
      </c>
    </row>
    <row r="32" ht="18" customHeight="1" spans="1:10">
      <c r="A32" s="21" t="s">
        <v>53</v>
      </c>
      <c r="B32" s="21" t="s">
        <v>83</v>
      </c>
      <c r="C32" s="21">
        <v>10</v>
      </c>
      <c r="D32" s="22">
        <v>44.1379314661026</v>
      </c>
      <c r="E32" s="22">
        <v>4.13367136937767</v>
      </c>
      <c r="F32" s="22">
        <v>47.1186444163322</v>
      </c>
      <c r="G32" s="22">
        <v>6.81722228458495</v>
      </c>
      <c r="H32" s="22">
        <v>42.7027025818825</v>
      </c>
      <c r="I32" s="22">
        <v>5.81063552397329</v>
      </c>
      <c r="J32" s="22" t="s">
        <v>41</v>
      </c>
    </row>
    <row r="33" ht="18" customHeight="1" spans="1:10">
      <c r="A33" s="21" t="s">
        <v>53</v>
      </c>
      <c r="B33" s="21" t="s">
        <v>81</v>
      </c>
      <c r="C33" s="21">
        <v>10</v>
      </c>
      <c r="D33" s="22">
        <v>44.7126439213753</v>
      </c>
      <c r="E33" s="22">
        <v>4.28194089847716</v>
      </c>
      <c r="F33" s="22">
        <v>47.1186444163322</v>
      </c>
      <c r="G33" s="22">
        <v>6.81722228458495</v>
      </c>
      <c r="H33" s="22">
        <v>42.7027025818825</v>
      </c>
      <c r="I33" s="22">
        <v>5.81063552397329</v>
      </c>
      <c r="J33" s="22" t="s">
        <v>41</v>
      </c>
    </row>
    <row r="34" ht="18" customHeight="1" spans="1:10">
      <c r="A34" s="21" t="s">
        <v>55</v>
      </c>
      <c r="B34" s="21" t="s">
        <v>75</v>
      </c>
      <c r="C34" s="21">
        <v>10</v>
      </c>
      <c r="D34" s="22">
        <v>97.0114934444427</v>
      </c>
      <c r="E34" s="22">
        <v>3.34893018894004</v>
      </c>
      <c r="F34" s="22">
        <v>82.2033900022507</v>
      </c>
      <c r="G34" s="22">
        <v>6.15015205678473</v>
      </c>
      <c r="H34" s="22">
        <v>78.3783781528473</v>
      </c>
      <c r="I34" s="22">
        <v>7.95654017795972</v>
      </c>
      <c r="J34" s="22" t="s">
        <v>76</v>
      </c>
    </row>
    <row r="35" ht="18" customHeight="1" spans="1:10">
      <c r="A35" s="21" t="s">
        <v>55</v>
      </c>
      <c r="B35" s="21" t="s">
        <v>78</v>
      </c>
      <c r="C35" s="21">
        <v>10</v>
      </c>
      <c r="D35" s="22">
        <v>98.8505733013153</v>
      </c>
      <c r="E35" s="22">
        <v>1.08368890073015</v>
      </c>
      <c r="F35" s="22">
        <v>78.6440676450729</v>
      </c>
      <c r="G35" s="22">
        <v>5.71711102585379</v>
      </c>
      <c r="H35" s="22">
        <v>72.4324321746826</v>
      </c>
      <c r="I35" s="22">
        <v>6.71760384838556</v>
      </c>
      <c r="J35" s="22" t="s">
        <v>41</v>
      </c>
    </row>
    <row r="36" ht="18" customHeight="1" spans="1:10">
      <c r="A36" s="21" t="s">
        <v>55</v>
      </c>
      <c r="B36" s="21" t="s">
        <v>82</v>
      </c>
      <c r="C36" s="21">
        <v>10</v>
      </c>
      <c r="D36" s="22">
        <v>93.3333331346512</v>
      </c>
      <c r="E36" s="22">
        <v>10.8341757118616</v>
      </c>
      <c r="F36" s="22">
        <v>65.4237288236618</v>
      </c>
      <c r="G36" s="22">
        <v>5.2515031299695</v>
      </c>
      <c r="H36" s="22">
        <v>59.4594591856003</v>
      </c>
      <c r="I36" s="22">
        <v>8.35461120508999</v>
      </c>
      <c r="J36" s="22" t="s">
        <v>41</v>
      </c>
    </row>
    <row r="37" ht="18" customHeight="1" spans="1:10">
      <c r="A37" s="21" t="s">
        <v>55</v>
      </c>
      <c r="B37" s="21" t="s">
        <v>77</v>
      </c>
      <c r="C37" s="21">
        <v>10</v>
      </c>
      <c r="D37" s="22">
        <v>96.2068963050842</v>
      </c>
      <c r="E37" s="22">
        <v>2.03101181640422</v>
      </c>
      <c r="F37" s="22">
        <v>61.8644070625305</v>
      </c>
      <c r="G37" s="22">
        <v>10.9041017358187</v>
      </c>
      <c r="H37" s="22">
        <v>59.1891884803772</v>
      </c>
      <c r="I37" s="22">
        <v>6.42740809714256</v>
      </c>
      <c r="J37" s="22" t="s">
        <v>41</v>
      </c>
    </row>
    <row r="38" ht="18" customHeight="1" spans="1:10">
      <c r="A38" s="21" t="s">
        <v>55</v>
      </c>
      <c r="B38" s="21" t="s">
        <v>80</v>
      </c>
      <c r="C38" s="21">
        <v>10</v>
      </c>
      <c r="D38" s="22">
        <v>53.4482753276825</v>
      </c>
      <c r="E38" s="22">
        <v>3.84098499748934</v>
      </c>
      <c r="F38" s="22">
        <v>55.4237288236618</v>
      </c>
      <c r="G38" s="22">
        <v>5.65254242533707</v>
      </c>
      <c r="H38" s="22">
        <v>58.918918967247</v>
      </c>
      <c r="I38" s="22">
        <v>4.558236843974</v>
      </c>
      <c r="J38" s="22" t="s">
        <v>41</v>
      </c>
    </row>
    <row r="39" ht="18" customHeight="1" spans="1:10">
      <c r="A39" s="21" t="s">
        <v>55</v>
      </c>
      <c r="B39" s="21" t="s">
        <v>83</v>
      </c>
      <c r="C39" s="21">
        <v>10</v>
      </c>
      <c r="D39" s="22">
        <v>53.4482753276825</v>
      </c>
      <c r="E39" s="22">
        <v>3.84098499748934</v>
      </c>
      <c r="F39" s="22">
        <v>55.4237288236618</v>
      </c>
      <c r="G39" s="22">
        <v>5.65254242533707</v>
      </c>
      <c r="H39" s="22">
        <v>58.918918967247</v>
      </c>
      <c r="I39" s="22">
        <v>4.558236843974</v>
      </c>
      <c r="J39" s="22" t="s">
        <v>41</v>
      </c>
    </row>
    <row r="40" ht="18" customHeight="1" spans="1:10">
      <c r="A40" s="21" t="s">
        <v>55</v>
      </c>
      <c r="B40" s="21" t="s">
        <v>81</v>
      </c>
      <c r="C40" s="21">
        <v>10</v>
      </c>
      <c r="D40" s="22">
        <v>53.4482753276825</v>
      </c>
      <c r="E40" s="22">
        <v>3.84098499748934</v>
      </c>
      <c r="F40" s="22">
        <v>55.4237288236618</v>
      </c>
      <c r="G40" s="22">
        <v>5.65254242533707</v>
      </c>
      <c r="H40" s="22">
        <v>58.918918967247</v>
      </c>
      <c r="I40" s="22">
        <v>4.558236843974</v>
      </c>
      <c r="J40" s="22" t="s">
        <v>41</v>
      </c>
    </row>
    <row r="41" ht="18" customHeight="1" spans="1:10">
      <c r="A41" s="21" t="s">
        <v>55</v>
      </c>
      <c r="B41" s="21" t="s">
        <v>79</v>
      </c>
      <c r="C41" s="21">
        <v>10</v>
      </c>
      <c r="D41" s="22">
        <v>60.574711561203</v>
      </c>
      <c r="E41" s="22">
        <v>7.12787873480923</v>
      </c>
      <c r="F41" s="22">
        <v>58.1355929374695</v>
      </c>
      <c r="G41" s="22">
        <v>4.92855039499242</v>
      </c>
      <c r="H41" s="22">
        <v>57.8378385305405</v>
      </c>
      <c r="I41" s="22">
        <v>4.26384017096461</v>
      </c>
      <c r="J41" s="22" t="s">
        <v>41</v>
      </c>
    </row>
    <row r="42" ht="18" customHeight="1" spans="1:10">
      <c r="A42" s="21" t="s">
        <v>56</v>
      </c>
      <c r="B42" s="21" t="s">
        <v>75</v>
      </c>
      <c r="C42" s="21">
        <v>10</v>
      </c>
      <c r="D42" s="22">
        <v>97.8333342075348</v>
      </c>
      <c r="E42" s="22">
        <v>4.58459512122937</v>
      </c>
      <c r="F42" s="22">
        <v>82.1249997615814</v>
      </c>
      <c r="G42" s="22">
        <v>4.12689263822618</v>
      </c>
      <c r="H42" s="22">
        <v>81.9607853889465</v>
      </c>
      <c r="I42" s="22">
        <v>3.17515217714908</v>
      </c>
      <c r="J42" s="22" t="s">
        <v>76</v>
      </c>
    </row>
    <row r="43" ht="18" customHeight="1" spans="1:10">
      <c r="A43" s="21" t="s">
        <v>56</v>
      </c>
      <c r="B43" s="21" t="s">
        <v>78</v>
      </c>
      <c r="C43" s="21">
        <v>10</v>
      </c>
      <c r="D43" s="22">
        <v>95.6666672229767</v>
      </c>
      <c r="E43" s="22">
        <v>4.11636388590178</v>
      </c>
      <c r="F43" s="22">
        <v>78.8750004768372</v>
      </c>
      <c r="G43" s="22">
        <v>3.35668958235664</v>
      </c>
      <c r="H43" s="22">
        <v>77.4509817361832</v>
      </c>
      <c r="I43" s="22">
        <v>3.83899981185448</v>
      </c>
      <c r="J43" s="22" t="s">
        <v>41</v>
      </c>
    </row>
    <row r="44" ht="18" customHeight="1" spans="1:10">
      <c r="A44" s="21" t="s">
        <v>56</v>
      </c>
      <c r="B44" s="21" t="s">
        <v>77</v>
      </c>
      <c r="C44" s="21">
        <v>10</v>
      </c>
      <c r="D44" s="22">
        <v>96.1666661500931</v>
      </c>
      <c r="E44" s="22">
        <v>1.31468557726194</v>
      </c>
      <c r="F44" s="22">
        <v>67.8750002384186</v>
      </c>
      <c r="G44" s="22">
        <v>3.38758019004082</v>
      </c>
      <c r="H44" s="22">
        <v>67.0588254928589</v>
      </c>
      <c r="I44" s="22">
        <v>3.78859500194407</v>
      </c>
      <c r="J44" s="22" t="s">
        <v>41</v>
      </c>
    </row>
    <row r="45" ht="18" customHeight="1" spans="1:10">
      <c r="A45" s="21" t="s">
        <v>56</v>
      </c>
      <c r="B45" s="21" t="s">
        <v>82</v>
      </c>
      <c r="C45" s="21">
        <v>10</v>
      </c>
      <c r="D45" s="22">
        <v>98.2499998807907</v>
      </c>
      <c r="E45" s="22">
        <v>3.38957250649355</v>
      </c>
      <c r="F45" s="22">
        <v>66.5000003576279</v>
      </c>
      <c r="G45" s="22">
        <v>4.85197545394803</v>
      </c>
      <c r="H45" s="22">
        <v>65.6862765550613</v>
      </c>
      <c r="I45" s="22">
        <v>4.45692185754473</v>
      </c>
      <c r="J45" s="22" t="s">
        <v>41</v>
      </c>
    </row>
    <row r="46" ht="18" customHeight="1" spans="1:10">
      <c r="A46" s="21" t="s">
        <v>56</v>
      </c>
      <c r="B46" s="21" t="s">
        <v>79</v>
      </c>
      <c r="C46" s="21">
        <v>10</v>
      </c>
      <c r="D46" s="22">
        <v>65.1666659116745</v>
      </c>
      <c r="E46" s="22">
        <v>4.79196786624926</v>
      </c>
      <c r="F46" s="22">
        <v>60.5000001192093</v>
      </c>
      <c r="G46" s="22">
        <v>2.64837573894447</v>
      </c>
      <c r="H46" s="22">
        <v>60.3921589255333</v>
      </c>
      <c r="I46" s="22">
        <v>7.14782918028452</v>
      </c>
      <c r="J46" s="22" t="s">
        <v>41</v>
      </c>
    </row>
    <row r="47" ht="18" customHeight="1" spans="1:10">
      <c r="A47" s="21" t="s">
        <v>56</v>
      </c>
      <c r="B47" s="21" t="s">
        <v>81</v>
      </c>
      <c r="C47" s="21">
        <v>10</v>
      </c>
      <c r="D47" s="22">
        <v>56.5000000596047</v>
      </c>
      <c r="E47" s="22">
        <v>8.18195833212106</v>
      </c>
      <c r="F47" s="22">
        <v>51.9999995827675</v>
      </c>
      <c r="G47" s="22">
        <v>8.54319130076084</v>
      </c>
      <c r="H47" s="22">
        <v>53.7254920601845</v>
      </c>
      <c r="I47" s="22">
        <v>8.53185380541982</v>
      </c>
      <c r="J47" s="22" t="s">
        <v>41</v>
      </c>
    </row>
    <row r="48" ht="18" customHeight="1" spans="1:10">
      <c r="A48" s="21" t="s">
        <v>56</v>
      </c>
      <c r="B48" s="21" t="s">
        <v>80</v>
      </c>
      <c r="C48" s="21">
        <v>10</v>
      </c>
      <c r="D48" s="22">
        <v>53.999999165535</v>
      </c>
      <c r="E48" s="22">
        <v>9.01644548276874</v>
      </c>
      <c r="F48" s="22">
        <v>50.3750002384186</v>
      </c>
      <c r="G48" s="22">
        <v>7.63876300236033</v>
      </c>
      <c r="H48" s="22">
        <v>51.9607856869698</v>
      </c>
      <c r="I48" s="22">
        <v>10.7495982972623</v>
      </c>
      <c r="J48" s="22" t="s">
        <v>41</v>
      </c>
    </row>
    <row r="49" ht="18" customHeight="1" spans="1:10">
      <c r="A49" s="21" t="s">
        <v>56</v>
      </c>
      <c r="B49" s="21" t="s">
        <v>83</v>
      </c>
      <c r="C49" s="21">
        <v>10</v>
      </c>
      <c r="D49" s="22">
        <v>46.9166666269302</v>
      </c>
      <c r="E49" s="22">
        <v>3.33449116660687</v>
      </c>
      <c r="F49" s="22">
        <v>47.2499999403954</v>
      </c>
      <c r="G49" s="22">
        <v>4.74341678345384</v>
      </c>
      <c r="H49" s="22">
        <v>48.8235309720039</v>
      </c>
      <c r="I49" s="22">
        <v>7.30448908406932</v>
      </c>
      <c r="J49" s="22" t="s">
        <v>41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showGridLines="0" workbookViewId="0">
      <selection activeCell="A1" sqref="A1"/>
    </sheetView>
  </sheetViews>
  <sheetFormatPr defaultColWidth="9" defaultRowHeight="14.5"/>
  <cols>
    <col min="1" max="1" width="22" customWidth="1"/>
    <col min="2" max="2" width="24" customWidth="1"/>
    <col min="3" max="3" width="12" customWidth="1"/>
    <col min="4" max="4" width="18" customWidth="1"/>
    <col min="5" max="5" width="16" customWidth="1"/>
    <col min="6" max="6" width="19" customWidth="1"/>
    <col min="7" max="7" width="16" customWidth="1"/>
    <col min="8" max="8" width="12" customWidth="1"/>
    <col min="9" max="9" width="17" customWidth="1"/>
    <col min="10" max="10" width="16" customWidth="1"/>
    <col min="11" max="11" width="18" customWidth="1"/>
    <col min="12" max="12" width="16" customWidth="1"/>
    <col min="13" max="13" width="18" customWidth="1"/>
  </cols>
  <sheetData>
    <row r="1" ht="18" customHeight="1" spans="1:13">
      <c r="A1" s="20" t="s">
        <v>7</v>
      </c>
      <c r="B1" s="20" t="s">
        <v>84</v>
      </c>
      <c r="C1" s="20" t="s">
        <v>85</v>
      </c>
      <c r="D1" s="20" t="s">
        <v>86</v>
      </c>
      <c r="E1" s="20" t="s">
        <v>87</v>
      </c>
      <c r="F1" s="20" t="s">
        <v>88</v>
      </c>
      <c r="G1" s="20" t="s">
        <v>89</v>
      </c>
      <c r="H1" s="20" t="s">
        <v>90</v>
      </c>
      <c r="I1" s="20" t="s">
        <v>91</v>
      </c>
      <c r="J1" s="20" t="s">
        <v>92</v>
      </c>
      <c r="K1" s="20" t="s">
        <v>93</v>
      </c>
      <c r="L1" s="20" t="s">
        <v>94</v>
      </c>
      <c r="M1" s="20" t="s">
        <v>95</v>
      </c>
    </row>
    <row r="2" ht="18" customHeight="1" spans="1:13">
      <c r="A2" s="21" t="s">
        <v>27</v>
      </c>
      <c r="B2" s="21" t="s">
        <v>75</v>
      </c>
      <c r="C2" s="21">
        <f>COUNT(Raw_Strongest_Baseline_Repeats!H2:H11)</f>
        <v>10</v>
      </c>
      <c r="D2" s="22">
        <f>AVERAGE(Raw_Strongest_Baseline_Repeats!G2:G11)*100</f>
        <v>85.5000001192093</v>
      </c>
      <c r="E2" s="22">
        <f>_xlfn.STDEV.S(Raw_Strongest_Baseline_Repeats!G2:G11)*100</f>
        <v>2.39469585168393</v>
      </c>
      <c r="F2" s="22">
        <f>AVERAGE(Raw_Strongest_Baseline_Repeats!H2:H11)*100</f>
        <v>77.45849609375</v>
      </c>
      <c r="G2" s="22">
        <f>_xlfn.STDEV.S(Raw_Strongest_Baseline_Repeats!H2:H11)*100</f>
        <v>1.87492791721715</v>
      </c>
      <c r="H2" s="22">
        <f>COUNT(Raw_SRC_V16C_Repeats!H2:H11)</f>
        <v>10</v>
      </c>
      <c r="I2" s="22">
        <f>AVERAGE(Raw_SRC_V16C_Repeats!G2:G11)*100</f>
        <v>85.4666666666667</v>
      </c>
      <c r="J2" s="22">
        <f>_xlfn.STDEV.S(Raw_SRC_V16C_Repeats!G2:G11)*100</f>
        <v>1.23927497720877</v>
      </c>
      <c r="K2" s="22">
        <f>AVERAGE(Raw_SRC_V16C_Repeats!H2:H11)*100</f>
        <v>78.7096287352852</v>
      </c>
      <c r="L2" s="22">
        <f>_xlfn.STDEV.S(Raw_SRC_V16C_Repeats!H2:H11)*100</f>
        <v>1.15474381090689</v>
      </c>
      <c r="M2" s="22">
        <f t="shared" ref="M2:M7" si="0">K2-F2</f>
        <v>1.25113264153524</v>
      </c>
    </row>
    <row r="3" ht="18" customHeight="1" spans="1:13">
      <c r="A3" s="21" t="s">
        <v>36</v>
      </c>
      <c r="B3" s="21" t="s">
        <v>75</v>
      </c>
      <c r="C3" s="21">
        <f>COUNT(Raw_Strongest_Baseline_Repeats!H12:H21)</f>
        <v>10</v>
      </c>
      <c r="D3" s="22">
        <f>AVERAGE(Raw_Strongest_Baseline_Repeats!G12:G21)*100</f>
        <v>90.9999996423721</v>
      </c>
      <c r="E3" s="22">
        <f>_xlfn.STDEV.S(Raw_Strongest_Baseline_Repeats!G12:G21)*100</f>
        <v>1.24536323637433</v>
      </c>
      <c r="F3" s="22">
        <f>AVERAGE(Raw_Strongest_Baseline_Repeats!H12:H21)*100</f>
        <v>87.586207985878</v>
      </c>
      <c r="G3" s="22">
        <f>_xlfn.STDEV.S(Raw_Strongest_Baseline_Repeats!H12:H21)*100</f>
        <v>1.32727960536594</v>
      </c>
      <c r="H3" s="22">
        <f>COUNT(Raw_SRC_V16C_Repeats!H12:H21)</f>
        <v>10</v>
      </c>
      <c r="I3" s="22">
        <f>AVERAGE(Raw_SRC_V16C_Repeats!G12:G21)*100</f>
        <v>91.6666666666667</v>
      </c>
      <c r="J3" s="22">
        <f>_xlfn.STDEV.S(Raw_SRC_V16C_Repeats!G12:G21)*100</f>
        <v>2.20479275922049</v>
      </c>
      <c r="K3" s="22">
        <f>AVERAGE(Raw_SRC_V16C_Repeats!H12:H21)*100</f>
        <v>88.76</v>
      </c>
      <c r="L3" s="22">
        <f>_xlfn.STDEV.S(Raw_SRC_V16C_Repeats!H12:H21)*100</f>
        <v>1.3532784870439</v>
      </c>
      <c r="M3" s="22">
        <f t="shared" si="0"/>
        <v>1.173792014122</v>
      </c>
    </row>
    <row r="4" ht="18" customHeight="1" spans="1:13">
      <c r="A4" s="21" t="s">
        <v>39</v>
      </c>
      <c r="B4" s="21" t="s">
        <v>82</v>
      </c>
      <c r="C4" s="21">
        <f>COUNT(Raw_Strongest_Baseline_Repeats!H22:H31)</f>
        <v>10</v>
      </c>
      <c r="D4" s="22">
        <f>AVERAGE(Raw_Strongest_Baseline_Repeats!G22:G31)*100</f>
        <v>72.5514388084412</v>
      </c>
      <c r="E4" s="22">
        <f>_xlfn.STDEV.S(Raw_Strongest_Baseline_Repeats!G22:G31)*100</f>
        <v>1.58981337697019</v>
      </c>
      <c r="F4" s="22">
        <f>AVERAGE(Raw_Strongest_Baseline_Repeats!H22:H31)*100</f>
        <v>71.2499994039536</v>
      </c>
      <c r="G4" s="22">
        <f>_xlfn.STDEV.S(Raw_Strongest_Baseline_Repeats!H22:H31)*100</f>
        <v>1.4853749737581</v>
      </c>
      <c r="H4" s="22">
        <f>COUNT(Raw_SRC_V16C_Repeats!H22:H31)</f>
        <v>10</v>
      </c>
      <c r="I4" s="22">
        <f>AVERAGE(Raw_SRC_V16C_Repeats!G22:G31)*100</f>
        <v>72.798353909465</v>
      </c>
      <c r="J4" s="22">
        <f>_xlfn.STDEV.S(Raw_SRC_V16C_Repeats!G22:G31)*100</f>
        <v>2.28628257841793</v>
      </c>
      <c r="K4" s="22">
        <f>AVERAGE(Raw_SRC_V16C_Repeats!H22:H31)*100</f>
        <v>72.4780701754386</v>
      </c>
      <c r="L4" s="22">
        <f>_xlfn.STDEV.S(Raw_SRC_V16C_Repeats!H22:H31)*100</f>
        <v>1.8528935461457</v>
      </c>
      <c r="M4" s="22">
        <f t="shared" si="0"/>
        <v>1.22807077148504</v>
      </c>
    </row>
    <row r="5" ht="18" customHeight="1" spans="1:13">
      <c r="A5" s="21" t="s">
        <v>53</v>
      </c>
      <c r="B5" s="21" t="s">
        <v>75</v>
      </c>
      <c r="C5" s="21">
        <f>COUNT(Raw_Strongest_Baseline_Repeats!H32:H41)</f>
        <v>10</v>
      </c>
      <c r="D5" s="22">
        <f>AVERAGE(Raw_Strongest_Baseline_Repeats!G32:G41)*100</f>
        <v>74.7457629442215</v>
      </c>
      <c r="E5" s="22">
        <f>_xlfn.STDEV.S(Raw_Strongest_Baseline_Repeats!G32:G41)*100</f>
        <v>6.56194698368021</v>
      </c>
      <c r="F5" s="22">
        <f>AVERAGE(Raw_Strongest_Baseline_Repeats!H32:H41)*100</f>
        <v>70.2702695131302</v>
      </c>
      <c r="G5" s="22">
        <f>_xlfn.STDEV.S(Raw_Strongest_Baseline_Repeats!H32:H41)*100</f>
        <v>5.69779827360999</v>
      </c>
      <c r="H5" s="22">
        <f>COUNT(Raw_SRC_V16C_Repeats!H32:H41)</f>
        <v>10</v>
      </c>
      <c r="I5" s="22">
        <f>AVERAGE(Raw_SRC_V16C_Repeats!G32:G41)*100</f>
        <v>80.5084745762712</v>
      </c>
      <c r="J5" s="22">
        <f>_xlfn.STDEV.S(Raw_SRC_V16C_Repeats!G32:G41)*100</f>
        <v>3.22083453417835</v>
      </c>
      <c r="K5" s="22">
        <f>AVERAGE(Raw_SRC_V16C_Repeats!H32:H41)*100</f>
        <v>75.4054054054054</v>
      </c>
      <c r="L5" s="22">
        <f>_xlfn.STDEV.S(Raw_SRC_V16C_Repeats!H32:H41)*100</f>
        <v>7.25770596797219</v>
      </c>
      <c r="M5" s="22">
        <f t="shared" si="0"/>
        <v>5.13513589227522</v>
      </c>
    </row>
    <row r="6" ht="18" customHeight="1" spans="1:13">
      <c r="A6" s="21" t="s">
        <v>55</v>
      </c>
      <c r="B6" s="21" t="s">
        <v>75</v>
      </c>
      <c r="C6" s="21">
        <f>COUNT(Raw_Strongest_Baseline_Repeats!H42:H51)</f>
        <v>10</v>
      </c>
      <c r="D6" s="22">
        <f>AVERAGE(Raw_Strongest_Baseline_Repeats!G42:G51)*100</f>
        <v>82.2033900022507</v>
      </c>
      <c r="E6" s="22">
        <f>_xlfn.STDEV.S(Raw_Strongest_Baseline_Repeats!G42:G51)*100</f>
        <v>6.15015205678473</v>
      </c>
      <c r="F6" s="22">
        <f>AVERAGE(Raw_Strongest_Baseline_Repeats!H42:H51)*100</f>
        <v>78.3783781528473</v>
      </c>
      <c r="G6" s="22">
        <f>_xlfn.STDEV.S(Raw_Strongest_Baseline_Repeats!H42:H51)*100</f>
        <v>7.95654017795972</v>
      </c>
      <c r="H6" s="22">
        <f>COUNT(Raw_SRC_V16C_Repeats!H42:H51)</f>
        <v>10</v>
      </c>
      <c r="I6" s="22">
        <f>AVERAGE(Raw_SRC_V16C_Repeats!G42:G51)*100</f>
        <v>87.7586206896552</v>
      </c>
      <c r="J6" s="22">
        <f>_xlfn.STDEV.S(Raw_SRC_V16C_Repeats!G42:G51)*100</f>
        <v>2.49851323210163</v>
      </c>
      <c r="K6" s="22">
        <f>AVERAGE(Raw_SRC_V16C_Repeats!H42:H51)*100</f>
        <v>86.3157894736842</v>
      </c>
      <c r="L6" s="22">
        <f>_xlfn.STDEV.S(Raw_SRC_V16C_Repeats!H42:H51)*100</f>
        <v>4.07682457495517</v>
      </c>
      <c r="M6" s="22">
        <f t="shared" si="0"/>
        <v>7.9374113208369</v>
      </c>
    </row>
    <row r="7" ht="18" customHeight="1" spans="1:13">
      <c r="A7" s="21" t="s">
        <v>56</v>
      </c>
      <c r="B7" s="21" t="s">
        <v>75</v>
      </c>
      <c r="C7" s="21">
        <f>COUNT(Raw_Strongest_Baseline_Repeats!H52:H61)</f>
        <v>10</v>
      </c>
      <c r="D7" s="22">
        <f>AVERAGE(Raw_Strongest_Baseline_Repeats!G52:G61)*100</f>
        <v>82.1249997615814</v>
      </c>
      <c r="E7" s="22">
        <f>_xlfn.STDEV.S(Raw_Strongest_Baseline_Repeats!G52:G61)*100</f>
        <v>4.12689263822618</v>
      </c>
      <c r="F7" s="22">
        <f>AVERAGE(Raw_Strongest_Baseline_Repeats!H52:H61)*100</f>
        <v>81.9607853889465</v>
      </c>
      <c r="G7" s="22">
        <f>_xlfn.STDEV.S(Raw_Strongest_Baseline_Repeats!H52:H61)*100</f>
        <v>3.17515217714908</v>
      </c>
      <c r="H7" s="22">
        <f>COUNT(Raw_SRC_V16C_Repeats!H52:H61)</f>
        <v>10</v>
      </c>
      <c r="I7" s="22">
        <f>AVERAGE(Raw_SRC_V16C_Repeats!G52:G61)*100</f>
        <v>85.25</v>
      </c>
      <c r="J7" s="22">
        <f>_xlfn.STDEV.S(Raw_SRC_V16C_Repeats!G52:G61)*100</f>
        <v>1.53659074288215</v>
      </c>
      <c r="K7" s="22">
        <f>AVERAGE(Raw_SRC_V16C_Repeats!H52:H61)*100</f>
        <v>84.3137254901961</v>
      </c>
      <c r="L7" s="22">
        <f>_xlfn.STDEV.S(Raw_SRC_V16C_Repeats!H52:H61)*100</f>
        <v>4.23577823425351</v>
      </c>
      <c r="M7" s="22">
        <f t="shared" si="0"/>
        <v>2.35294010124954</v>
      </c>
    </row>
    <row r="8" ht="18" customHeight="1" spans="1:13">
      <c r="D8" s="23"/>
      <c r="E8" s="23"/>
      <c r="F8" s="23"/>
      <c r="G8" s="23"/>
      <c r="H8" s="23"/>
      <c r="I8" s="23"/>
      <c r="J8" s="23"/>
      <c r="K8" s="23"/>
      <c r="L8" s="23"/>
      <c r="M8" s="23"/>
    </row>
    <row r="9" ht="18" customHeight="1" spans="1:13">
      <c r="A9" s="24" t="s">
        <v>6</v>
      </c>
      <c r="D9" s="23"/>
      <c r="E9" s="23"/>
      <c r="F9" s="25">
        <f>AVERAGE(F2:F7)</f>
        <v>77.8173560897509</v>
      </c>
      <c r="G9" s="23"/>
      <c r="H9" s="23"/>
      <c r="I9" s="23"/>
      <c r="J9" s="23"/>
      <c r="K9" s="25">
        <f>AVERAGE(K2:K7)</f>
        <v>80.9971032133349</v>
      </c>
      <c r="L9" s="23"/>
      <c r="M9" s="25">
        <f>AVERAGE(M2:M7)</f>
        <v>3.17974712358399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84"/>
  <sheetViews>
    <sheetView showGridLines="0" workbookViewId="0">
      <selection activeCell="A1" sqref="A1"/>
    </sheetView>
  </sheetViews>
  <sheetFormatPr defaultColWidth="9" defaultRowHeight="14.5"/>
  <cols>
    <col min="1" max="1" width="20" customWidth="1"/>
    <col min="2" max="2" width="26" customWidth="1"/>
    <col min="3" max="3" width="16" customWidth="1"/>
    <col min="4" max="4" width="8" customWidth="1"/>
    <col min="5" max="5" width="14" customWidth="1"/>
    <col min="6" max="6" width="12" customWidth="1"/>
    <col min="7" max="7" width="14" customWidth="1"/>
    <col min="8" max="8" width="12" customWidth="1"/>
    <col min="9" max="9" width="14" customWidth="1"/>
    <col min="10" max="10" width="12" customWidth="1"/>
    <col min="11" max="11" width="18" customWidth="1"/>
    <col min="12" max="12" width="8" customWidth="1"/>
    <col min="13" max="14" width="10" customWidth="1"/>
    <col min="15" max="15" width="38" customWidth="1"/>
    <col min="16" max="18" width="12" customWidth="1"/>
    <col min="19" max="19" width="16" customWidth="1"/>
    <col min="20" max="20" width="14" customWidth="1"/>
    <col min="21" max="21" width="10" customWidth="1"/>
    <col min="22" max="22" width="8" customWidth="1"/>
    <col min="23" max="23" width="10" customWidth="1"/>
    <col min="24" max="24" width="20" customWidth="1"/>
    <col min="25" max="25" width="8" customWidth="1"/>
    <col min="26" max="26" width="16" customWidth="1"/>
    <col min="27" max="27" width="32" customWidth="1"/>
    <col min="28" max="28" width="36" customWidth="1"/>
    <col min="29" max="29" width="14" customWidth="1"/>
  </cols>
  <sheetData>
    <row r="1" ht="22" customHeight="1" spans="1:29">
      <c r="A1" s="4" t="s">
        <v>0</v>
      </c>
      <c r="B1" s="4" t="s">
        <v>96</v>
      </c>
      <c r="C1" s="4" t="s">
        <v>97</v>
      </c>
      <c r="D1" s="4" t="s">
        <v>5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 t="s">
        <v>103</v>
      </c>
      <c r="K1" s="4" t="s">
        <v>104</v>
      </c>
      <c r="L1" s="4" t="s">
        <v>105</v>
      </c>
      <c r="M1" s="4" t="s">
        <v>106</v>
      </c>
      <c r="N1" s="4" t="s">
        <v>107</v>
      </c>
      <c r="O1" s="4" t="s">
        <v>108</v>
      </c>
      <c r="P1" s="4" t="s">
        <v>109</v>
      </c>
      <c r="Q1" s="4" t="s">
        <v>110</v>
      </c>
      <c r="R1" s="4" t="s">
        <v>111</v>
      </c>
      <c r="S1" s="4" t="s">
        <v>112</v>
      </c>
      <c r="T1" s="4" t="s">
        <v>113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  <c r="AB1" s="4" t="s">
        <v>24</v>
      </c>
      <c r="AC1" s="4" t="s">
        <v>25</v>
      </c>
    </row>
    <row r="2" ht="22" customHeight="1" spans="1:29">
      <c r="A2" s="6" t="s">
        <v>114</v>
      </c>
    </row>
    <row r="3" ht="22" customHeight="1" spans="1:29">
      <c r="A3" s="7" t="s">
        <v>27</v>
      </c>
      <c r="B3" s="7" t="s">
        <v>115</v>
      </c>
      <c r="C3" s="7" t="s">
        <v>75</v>
      </c>
      <c r="D3" s="8">
        <f>COUNT(Raw_Strongest_Baseline_Repeats!H2:H11)</f>
        <v>10</v>
      </c>
      <c r="E3" s="9">
        <f>AVERAGE(Raw_Strongest_Baseline_Repeats!F2:F11)*100</f>
        <v>95.8499991893768</v>
      </c>
      <c r="F3" s="9">
        <f>_xlfn.STDEV.S(Raw_Strongest_Baseline_Repeats!F2:F11)*100</f>
        <v>1.20300588967903</v>
      </c>
      <c r="G3" s="9">
        <f>AVERAGE(Raw_Strongest_Baseline_Repeats!G2:G11)*100</f>
        <v>85.5000001192093</v>
      </c>
      <c r="H3" s="9">
        <f>_xlfn.STDEV.S(Raw_Strongest_Baseline_Repeats!G2:G11)*100</f>
        <v>2.39469585168393</v>
      </c>
      <c r="I3" s="9">
        <f>AVERAGE(Raw_Strongest_Baseline_Repeats!H2:H11)*100</f>
        <v>77.45849609375</v>
      </c>
      <c r="J3" s="9">
        <f>_xlfn.STDEV.S(Raw_Strongest_Baseline_Repeats!H2:H11)*100</f>
        <v>1.87492791721715</v>
      </c>
      <c r="K3" s="9" t="s">
        <v>41</v>
      </c>
      <c r="L3" s="8"/>
      <c r="M3" s="8"/>
      <c r="N3" s="8"/>
      <c r="O3" s="8"/>
      <c r="P3" s="9"/>
      <c r="Q3" s="9"/>
      <c r="R3" s="9"/>
      <c r="S3" s="10"/>
      <c r="T3" s="9"/>
      <c r="U3" s="8"/>
      <c r="V3" s="8"/>
      <c r="W3" s="9"/>
      <c r="X3" s="8"/>
      <c r="Y3" s="9"/>
      <c r="Z3" s="8"/>
      <c r="AA3" s="8"/>
      <c r="AB3" s="8" t="s">
        <v>63</v>
      </c>
      <c r="AC3" s="8" t="s">
        <v>116</v>
      </c>
    </row>
    <row r="4" ht="22" customHeight="1" spans="1:29">
      <c r="A4" s="11" t="s">
        <v>27</v>
      </c>
      <c r="B4" s="11" t="s">
        <v>117</v>
      </c>
      <c r="C4" s="11" t="s">
        <v>2</v>
      </c>
      <c r="D4" s="12">
        <f>COUNT(Raw_SRC_V16C_Repeats!H2:H11)</f>
        <v>10</v>
      </c>
      <c r="E4" s="13">
        <f>AVERAGE(Raw_SRC_V16C_Repeats!F2:F11)*100</f>
        <v>100</v>
      </c>
      <c r="F4" s="13">
        <f>_xlfn.STDEV.S(Raw_SRC_V16C_Repeats!F2:F11)*100</f>
        <v>0</v>
      </c>
      <c r="G4" s="13">
        <f>AVERAGE(Raw_SRC_V16C_Repeats!G2:G11)*100</f>
        <v>85.4666666666667</v>
      </c>
      <c r="H4" s="13">
        <f>_xlfn.STDEV.S(Raw_SRC_V16C_Repeats!G2:G11)*100</f>
        <v>1.23927497720877</v>
      </c>
      <c r="I4" s="13">
        <f>AVERAGE(Raw_SRC_V16C_Repeats!H2:H11)*100</f>
        <v>78.7096287352852</v>
      </c>
      <c r="J4" s="13">
        <f>_xlfn.STDEV.S(Raw_SRC_V16C_Repeats!H2:H11)*100</f>
        <v>1.15474381090689</v>
      </c>
      <c r="K4" s="13">
        <f>I4-I3</f>
        <v>1.25113264153524</v>
      </c>
      <c r="L4" s="12"/>
      <c r="M4" s="12"/>
      <c r="N4" s="12"/>
      <c r="O4" s="12"/>
      <c r="P4" s="13"/>
      <c r="Q4" s="13"/>
      <c r="R4" s="13"/>
      <c r="S4" s="14"/>
      <c r="T4" s="13"/>
      <c r="U4" s="12"/>
      <c r="V4" s="12"/>
      <c r="W4" s="13"/>
      <c r="X4" s="12"/>
      <c r="Y4" s="13"/>
      <c r="Z4" s="12"/>
      <c r="AA4" s="12"/>
      <c r="AB4" s="12" t="s">
        <v>118</v>
      </c>
      <c r="AC4" s="12" t="s">
        <v>119</v>
      </c>
    </row>
    <row r="5" ht="22" customHeight="1" spans="1:29">
      <c r="A5" s="15" t="str">
        <f>Raw_SRC_V16C_Repeats!A2</f>
        <v>amazon-computers</v>
      </c>
      <c r="B5" s="15" t="str">
        <f>"SRC-v16c repeat "&amp;Raw_SRC_V16C_Repeats!B2</f>
        <v>SRC-v16c repeat 0</v>
      </c>
      <c r="C5" s="15" t="s">
        <v>2</v>
      </c>
      <c r="D5" s="15"/>
      <c r="E5" s="16"/>
      <c r="F5" s="16"/>
      <c r="G5" s="16"/>
      <c r="H5" s="16"/>
      <c r="I5" s="16"/>
      <c r="J5" s="16"/>
      <c r="K5" s="16"/>
      <c r="L5" s="15">
        <f>Raw_SRC_V16C_Repeats!B2</f>
        <v>0</v>
      </c>
      <c r="M5" s="15">
        <f>Raw_SRC_V16C_Repeats!C2</f>
        <v>20260419</v>
      </c>
      <c r="N5" s="15">
        <f>Raw_SRC_V16C_Repeats!D2</f>
        <v>0</v>
      </c>
      <c r="O5" s="15" t="str">
        <f>Raw_SRC_V16C_Repeats!E2</f>
        <v>class_balanced_random_20_train_30_val_per_class</v>
      </c>
      <c r="P5" s="16">
        <f>Raw_SRC_V16C_Repeats!F2*100</f>
        <v>100</v>
      </c>
      <c r="Q5" s="16">
        <f>Raw_SRC_V16C_Repeats!G2*100</f>
        <v>85.3333333333333</v>
      </c>
      <c r="R5" s="16">
        <f>Raw_SRC_V16C_Repeats!H2*100</f>
        <v>77.6184726833685</v>
      </c>
      <c r="S5" s="17">
        <f>Raw_SRC_V16C_Repeats!H2</f>
        <v>0.776184726833685</v>
      </c>
      <c r="T5" s="16">
        <f>Raw_SRC_V16C_Repeats!I2*100</f>
        <v>85.3333333333333</v>
      </c>
      <c r="U5" s="15">
        <f>Raw_SRC_V16C_Repeats!J2</f>
        <v>4000</v>
      </c>
      <c r="V5" s="15">
        <f>Raw_SRC_V16C_Repeats!K2</f>
        <v>64</v>
      </c>
      <c r="W5" s="16">
        <f>Raw_SRC_V16C_Repeats!L2</f>
        <v>0.95</v>
      </c>
      <c r="X5" s="15" t="str">
        <f>Raw_SRC_V16C_Repeats!M2</f>
        <v>(0.05, 0.5, 5.0)</v>
      </c>
      <c r="Y5" s="16">
        <f>Raw_SRC_V16C_Repeats!N2</f>
        <v>0.6</v>
      </c>
      <c r="Z5" s="15" t="str">
        <f>Raw_SRC_V16C_Repeats!O2</f>
        <v>full</v>
      </c>
      <c r="AA5" s="15" t="str">
        <f>Raw_SRC_V16C_Repeats!P2</f>
        <v>grid_selected_by_val_only_no_test</v>
      </c>
      <c r="AB5" s="15" t="str">
        <f>Raw_SRC_V16C_Repeats!R2</f>
        <v>src_v16c_final_6datasets_repeat_rows.csv</v>
      </c>
      <c r="AC5" s="15">
        <f>Raw_SRC_V16C_Repeats!S2</f>
        <v>42</v>
      </c>
    </row>
    <row r="6" ht="22" customHeight="1" spans="1:29">
      <c r="A6" s="15" t="str">
        <f>Raw_SRC_V16C_Repeats!A3</f>
        <v>amazon-computers</v>
      </c>
      <c r="B6" s="15" t="str">
        <f>"SRC-v16c repeat "&amp;Raw_SRC_V16C_Repeats!B3</f>
        <v>SRC-v16c repeat 1</v>
      </c>
      <c r="C6" s="15" t="s">
        <v>2</v>
      </c>
      <c r="D6" s="15"/>
      <c r="E6" s="16"/>
      <c r="F6" s="16"/>
      <c r="G6" s="16"/>
      <c r="H6" s="16"/>
      <c r="I6" s="16"/>
      <c r="J6" s="16"/>
      <c r="K6" s="16"/>
      <c r="L6" s="15">
        <f>Raw_SRC_V16C_Repeats!B3</f>
        <v>1</v>
      </c>
      <c r="M6" s="15">
        <f>Raw_SRC_V16C_Repeats!C3</f>
        <v>20260420</v>
      </c>
      <c r="N6" s="15">
        <f>Raw_SRC_V16C_Repeats!D3</f>
        <v>0</v>
      </c>
      <c r="O6" s="15" t="str">
        <f>Raw_SRC_V16C_Repeats!E3</f>
        <v>class_balanced_random_20_train_30_val_per_class</v>
      </c>
      <c r="P6" s="16">
        <f>Raw_SRC_V16C_Repeats!F3*100</f>
        <v>100</v>
      </c>
      <c r="Q6" s="16">
        <f>Raw_SRC_V16C_Repeats!G3*100</f>
        <v>86.6666666666667</v>
      </c>
      <c r="R6" s="16">
        <f>Raw_SRC_V16C_Repeats!H3*100</f>
        <v>80.4859643827347</v>
      </c>
      <c r="S6" s="17">
        <f>Raw_SRC_V16C_Repeats!H3</f>
        <v>0.804859643827347</v>
      </c>
      <c r="T6" s="16">
        <f>Raw_SRC_V16C_Repeats!I3*100</f>
        <v>86.6666666666667</v>
      </c>
      <c r="U6" s="15">
        <f>Raw_SRC_V16C_Repeats!J3</f>
        <v>4000</v>
      </c>
      <c r="V6" s="15">
        <f>Raw_SRC_V16C_Repeats!K3</f>
        <v>64</v>
      </c>
      <c r="W6" s="16">
        <f>Raw_SRC_V16C_Repeats!L3</f>
        <v>0.95</v>
      </c>
      <c r="X6" s="15" t="str">
        <f>Raw_SRC_V16C_Repeats!M3</f>
        <v>(0.01, 0.1, 1.0)</v>
      </c>
      <c r="Y6" s="16">
        <f>Raw_SRC_V16C_Repeats!N3</f>
        <v>0.4</v>
      </c>
      <c r="Z6" s="15" t="str">
        <f>Raw_SRC_V16C_Repeats!O3</f>
        <v>full</v>
      </c>
      <c r="AA6" s="15" t="str">
        <f>Raw_SRC_V16C_Repeats!P3</f>
        <v>grid_selected_by_val_only_no_test</v>
      </c>
      <c r="AB6" s="15" t="str">
        <f>Raw_SRC_V16C_Repeats!R3</f>
        <v>src_v16c_final_6datasets_repeat_rows.csv</v>
      </c>
      <c r="AC6" s="15">
        <f>Raw_SRC_V16C_Repeats!S3</f>
        <v>43</v>
      </c>
    </row>
    <row r="7" ht="22" customHeight="1" spans="1:29">
      <c r="A7" s="15" t="str">
        <f>Raw_SRC_V16C_Repeats!A4</f>
        <v>amazon-computers</v>
      </c>
      <c r="B7" s="15" t="str">
        <f>"SRC-v16c repeat "&amp;Raw_SRC_V16C_Repeats!B4</f>
        <v>SRC-v16c repeat 2</v>
      </c>
      <c r="C7" s="15" t="s">
        <v>2</v>
      </c>
      <c r="D7" s="15"/>
      <c r="E7" s="16"/>
      <c r="F7" s="16"/>
      <c r="G7" s="16"/>
      <c r="H7" s="16"/>
      <c r="I7" s="16"/>
      <c r="J7" s="16"/>
      <c r="K7" s="16"/>
      <c r="L7" s="15">
        <f>Raw_SRC_V16C_Repeats!B4</f>
        <v>2</v>
      </c>
      <c r="M7" s="15">
        <f>Raw_SRC_V16C_Repeats!C4</f>
        <v>20260421</v>
      </c>
      <c r="N7" s="15">
        <f>Raw_SRC_V16C_Repeats!D4</f>
        <v>0</v>
      </c>
      <c r="O7" s="15" t="str">
        <f>Raw_SRC_V16C_Repeats!E4</f>
        <v>class_balanced_random_20_train_30_val_per_class</v>
      </c>
      <c r="P7" s="16">
        <f>Raw_SRC_V16C_Repeats!F4*100</f>
        <v>100</v>
      </c>
      <c r="Q7" s="16">
        <f>Raw_SRC_V16C_Repeats!G4*100</f>
        <v>84.3333333333333</v>
      </c>
      <c r="R7" s="16">
        <f>Raw_SRC_V16C_Repeats!H4*100</f>
        <v>77.4147298520978</v>
      </c>
      <c r="S7" s="17">
        <f>Raw_SRC_V16C_Repeats!H4</f>
        <v>0.774147298520978</v>
      </c>
      <c r="T7" s="16">
        <f>Raw_SRC_V16C_Repeats!I4*100</f>
        <v>84.3333333333333</v>
      </c>
      <c r="U7" s="15">
        <f>Raw_SRC_V16C_Repeats!J4</f>
        <v>4000</v>
      </c>
      <c r="V7" s="15">
        <f>Raw_SRC_V16C_Repeats!K4</f>
        <v>64</v>
      </c>
      <c r="W7" s="16">
        <f>Raw_SRC_V16C_Repeats!L4</f>
        <v>0.99</v>
      </c>
      <c r="X7" s="15" t="str">
        <f>Raw_SRC_V16C_Repeats!M4</f>
        <v>(0.05, 0.5, 5.0)</v>
      </c>
      <c r="Y7" s="16">
        <f>Raw_SRC_V16C_Repeats!N4</f>
        <v>0.6</v>
      </c>
      <c r="Z7" s="15" t="str">
        <f>Raw_SRC_V16C_Repeats!O4</f>
        <v>full</v>
      </c>
      <c r="AA7" s="15" t="str">
        <f>Raw_SRC_V16C_Repeats!P4</f>
        <v>grid_selected_by_val_only_no_test</v>
      </c>
      <c r="AB7" s="15" t="str">
        <f>Raw_SRC_V16C_Repeats!R4</f>
        <v>src_v16c_final_6datasets_repeat_rows.csv</v>
      </c>
      <c r="AC7" s="15">
        <f>Raw_SRC_V16C_Repeats!S4</f>
        <v>44</v>
      </c>
    </row>
    <row r="8" ht="22" customHeight="1" spans="1:29">
      <c r="A8" s="15" t="str">
        <f>Raw_SRC_V16C_Repeats!A5</f>
        <v>amazon-computers</v>
      </c>
      <c r="B8" s="15" t="str">
        <f>"SRC-v16c repeat "&amp;Raw_SRC_V16C_Repeats!B5</f>
        <v>SRC-v16c repeat 3</v>
      </c>
      <c r="C8" s="15" t="s">
        <v>2</v>
      </c>
      <c r="D8" s="15"/>
      <c r="E8" s="16"/>
      <c r="F8" s="16"/>
      <c r="G8" s="16"/>
      <c r="H8" s="16"/>
      <c r="I8" s="16"/>
      <c r="J8" s="16"/>
      <c r="K8" s="16"/>
      <c r="L8" s="15">
        <f>Raw_SRC_V16C_Repeats!B5</f>
        <v>3</v>
      </c>
      <c r="M8" s="15">
        <f>Raw_SRC_V16C_Repeats!C5</f>
        <v>20260422</v>
      </c>
      <c r="N8" s="15">
        <f>Raw_SRC_V16C_Repeats!D5</f>
        <v>0</v>
      </c>
      <c r="O8" s="15" t="str">
        <f>Raw_SRC_V16C_Repeats!E5</f>
        <v>class_balanced_random_20_train_30_val_per_class</v>
      </c>
      <c r="P8" s="16">
        <f>Raw_SRC_V16C_Repeats!F5*100</f>
        <v>100</v>
      </c>
      <c r="Q8" s="16">
        <f>Raw_SRC_V16C_Repeats!G5*100</f>
        <v>86</v>
      </c>
      <c r="R8" s="16">
        <f>Raw_SRC_V16C_Repeats!H5*100</f>
        <v>79.6030787805614</v>
      </c>
      <c r="S8" s="17">
        <f>Raw_SRC_V16C_Repeats!H5</f>
        <v>0.796030787805614</v>
      </c>
      <c r="T8" s="16">
        <f>Raw_SRC_V16C_Repeats!I5*100</f>
        <v>86</v>
      </c>
      <c r="U8" s="15">
        <f>Raw_SRC_V16C_Repeats!J5</f>
        <v>4000</v>
      </c>
      <c r="V8" s="15">
        <f>Raw_SRC_V16C_Repeats!K5</f>
        <v>64</v>
      </c>
      <c r="W8" s="16">
        <f>Raw_SRC_V16C_Repeats!L5</f>
        <v>0.95</v>
      </c>
      <c r="X8" s="15" t="str">
        <f>Raw_SRC_V16C_Repeats!M5</f>
        <v>(0.01, 0.1, 1.0)</v>
      </c>
      <c r="Y8" s="16">
        <f>Raw_SRC_V16C_Repeats!N5</f>
        <v>0.6</v>
      </c>
      <c r="Z8" s="15" t="str">
        <f>Raw_SRC_V16C_Repeats!O5</f>
        <v>full</v>
      </c>
      <c r="AA8" s="15" t="str">
        <f>Raw_SRC_V16C_Repeats!P5</f>
        <v>grid_selected_by_val_only_no_test</v>
      </c>
      <c r="AB8" s="15" t="str">
        <f>Raw_SRC_V16C_Repeats!R5</f>
        <v>src_v16c_final_6datasets_repeat_rows.csv</v>
      </c>
      <c r="AC8" s="15">
        <f>Raw_SRC_V16C_Repeats!S5</f>
        <v>45</v>
      </c>
    </row>
    <row r="9" ht="22" customHeight="1" spans="1:29">
      <c r="A9" s="15" t="str">
        <f>Raw_SRC_V16C_Repeats!A6</f>
        <v>amazon-computers</v>
      </c>
      <c r="B9" s="15" t="str">
        <f>"SRC-v16c repeat "&amp;Raw_SRC_V16C_Repeats!B6</f>
        <v>SRC-v16c repeat 4</v>
      </c>
      <c r="C9" s="15" t="s">
        <v>2</v>
      </c>
      <c r="D9" s="15"/>
      <c r="E9" s="16"/>
      <c r="F9" s="16"/>
      <c r="G9" s="16"/>
      <c r="H9" s="16"/>
      <c r="I9" s="16"/>
      <c r="J9" s="16"/>
      <c r="K9" s="16"/>
      <c r="L9" s="15">
        <f>Raw_SRC_V16C_Repeats!B6</f>
        <v>4</v>
      </c>
      <c r="M9" s="15">
        <f>Raw_SRC_V16C_Repeats!C6</f>
        <v>20260423</v>
      </c>
      <c r="N9" s="15">
        <f>Raw_SRC_V16C_Repeats!D6</f>
        <v>0</v>
      </c>
      <c r="O9" s="15" t="str">
        <f>Raw_SRC_V16C_Repeats!E6</f>
        <v>class_balanced_random_20_train_30_val_per_class</v>
      </c>
      <c r="P9" s="16">
        <f>Raw_SRC_V16C_Repeats!F6*100</f>
        <v>100</v>
      </c>
      <c r="Q9" s="16">
        <f>Raw_SRC_V16C_Repeats!G6*100</f>
        <v>86</v>
      </c>
      <c r="R9" s="16">
        <f>Raw_SRC_V16C_Repeats!H6*100</f>
        <v>79.0220344099004</v>
      </c>
      <c r="S9" s="17">
        <f>Raw_SRC_V16C_Repeats!H6</f>
        <v>0.790220344099004</v>
      </c>
      <c r="T9" s="16">
        <f>Raw_SRC_V16C_Repeats!I6*100</f>
        <v>86</v>
      </c>
      <c r="U9" s="15">
        <f>Raw_SRC_V16C_Repeats!J6</f>
        <v>4000</v>
      </c>
      <c r="V9" s="15">
        <f>Raw_SRC_V16C_Repeats!K6</f>
        <v>64</v>
      </c>
      <c r="W9" s="16">
        <f>Raw_SRC_V16C_Repeats!L6</f>
        <v>0.95</v>
      </c>
      <c r="X9" s="15" t="str">
        <f>Raw_SRC_V16C_Repeats!M6</f>
        <v>(0.01, 0.1, 1.0)</v>
      </c>
      <c r="Y9" s="16">
        <f>Raw_SRC_V16C_Repeats!N6</f>
        <v>0.4</v>
      </c>
      <c r="Z9" s="15" t="str">
        <f>Raw_SRC_V16C_Repeats!O6</f>
        <v>full</v>
      </c>
      <c r="AA9" s="15" t="str">
        <f>Raw_SRC_V16C_Repeats!P6</f>
        <v>grid_selected_by_val_only_no_test</v>
      </c>
      <c r="AB9" s="15" t="str">
        <f>Raw_SRC_V16C_Repeats!R6</f>
        <v>src_v16c_final_6datasets_repeat_rows.csv</v>
      </c>
      <c r="AC9" s="15">
        <f>Raw_SRC_V16C_Repeats!S6</f>
        <v>46</v>
      </c>
    </row>
    <row r="10" ht="22" customHeight="1" spans="1:29">
      <c r="A10" s="15" t="str">
        <f>Raw_SRC_V16C_Repeats!A7</f>
        <v>amazon-computers</v>
      </c>
      <c r="B10" s="15" t="str">
        <f>"SRC-v16c repeat "&amp;Raw_SRC_V16C_Repeats!B7</f>
        <v>SRC-v16c repeat 5</v>
      </c>
      <c r="C10" s="15" t="s">
        <v>2</v>
      </c>
      <c r="D10" s="15"/>
      <c r="E10" s="16"/>
      <c r="F10" s="16"/>
      <c r="G10" s="16"/>
      <c r="H10" s="16"/>
      <c r="I10" s="16"/>
      <c r="J10" s="16"/>
      <c r="K10" s="16"/>
      <c r="L10" s="15">
        <f>Raw_SRC_V16C_Repeats!B7</f>
        <v>5</v>
      </c>
      <c r="M10" s="15">
        <f>Raw_SRC_V16C_Repeats!C7</f>
        <v>20260424</v>
      </c>
      <c r="N10" s="15">
        <f>Raw_SRC_V16C_Repeats!D7</f>
        <v>0</v>
      </c>
      <c r="O10" s="15" t="str">
        <f>Raw_SRC_V16C_Repeats!E7</f>
        <v>class_balanced_random_20_train_30_val_per_class</v>
      </c>
      <c r="P10" s="16">
        <f>Raw_SRC_V16C_Repeats!F7*100</f>
        <v>100</v>
      </c>
      <c r="Q10" s="16">
        <f>Raw_SRC_V16C_Repeats!G7*100</f>
        <v>84.6666666666667</v>
      </c>
      <c r="R10" s="16">
        <f>Raw_SRC_V16C_Repeats!H7*100</f>
        <v>79.0144883791126</v>
      </c>
      <c r="S10" s="17">
        <f>Raw_SRC_V16C_Repeats!H7</f>
        <v>0.790144883791126</v>
      </c>
      <c r="T10" s="16">
        <f>Raw_SRC_V16C_Repeats!I7*100</f>
        <v>84.6666666666667</v>
      </c>
      <c r="U10" s="15">
        <f>Raw_SRC_V16C_Repeats!J7</f>
        <v>4000</v>
      </c>
      <c r="V10" s="15">
        <f>Raw_SRC_V16C_Repeats!K7</f>
        <v>64</v>
      </c>
      <c r="W10" s="16">
        <f>Raw_SRC_V16C_Repeats!L7</f>
        <v>0.95</v>
      </c>
      <c r="X10" s="15" t="str">
        <f>Raw_SRC_V16C_Repeats!M7</f>
        <v>(0.01, 0.1, 1.0)</v>
      </c>
      <c r="Y10" s="16">
        <f>Raw_SRC_V16C_Repeats!N7</f>
        <v>0.4</v>
      </c>
      <c r="Z10" s="15" t="str">
        <f>Raw_SRC_V16C_Repeats!O7</f>
        <v>full</v>
      </c>
      <c r="AA10" s="15" t="str">
        <f>Raw_SRC_V16C_Repeats!P7</f>
        <v>grid_selected_by_val_only_no_test</v>
      </c>
      <c r="AB10" s="15" t="str">
        <f>Raw_SRC_V16C_Repeats!R7</f>
        <v>src_v16c_final_6datasets_repeat_rows.csv</v>
      </c>
      <c r="AC10" s="15">
        <f>Raw_SRC_V16C_Repeats!S7</f>
        <v>47</v>
      </c>
    </row>
    <row r="11" ht="22" customHeight="1" spans="1:29">
      <c r="A11" s="15" t="str">
        <f>Raw_SRC_V16C_Repeats!A8</f>
        <v>amazon-computers</v>
      </c>
      <c r="B11" s="15" t="str">
        <f>"SRC-v16c repeat "&amp;Raw_SRC_V16C_Repeats!B8</f>
        <v>SRC-v16c repeat 6</v>
      </c>
      <c r="C11" s="15" t="s">
        <v>2</v>
      </c>
      <c r="D11" s="15"/>
      <c r="E11" s="16"/>
      <c r="F11" s="16"/>
      <c r="G11" s="16"/>
      <c r="H11" s="16"/>
      <c r="I11" s="16"/>
      <c r="J11" s="16"/>
      <c r="K11" s="16"/>
      <c r="L11" s="15">
        <f>Raw_SRC_V16C_Repeats!B8</f>
        <v>6</v>
      </c>
      <c r="M11" s="15">
        <f>Raw_SRC_V16C_Repeats!C8</f>
        <v>20260425</v>
      </c>
      <c r="N11" s="15">
        <f>Raw_SRC_V16C_Repeats!D8</f>
        <v>0</v>
      </c>
      <c r="O11" s="15" t="str">
        <f>Raw_SRC_V16C_Repeats!E8</f>
        <v>class_balanced_random_20_train_30_val_per_class</v>
      </c>
      <c r="P11" s="16">
        <f>Raw_SRC_V16C_Repeats!F8*100</f>
        <v>100</v>
      </c>
      <c r="Q11" s="16">
        <f>Raw_SRC_V16C_Repeats!G8*100</f>
        <v>86</v>
      </c>
      <c r="R11" s="16">
        <f>Raw_SRC_V16C_Repeats!H8*100</f>
        <v>78.7730153939028</v>
      </c>
      <c r="S11" s="17">
        <f>Raw_SRC_V16C_Repeats!H8</f>
        <v>0.787730153939028</v>
      </c>
      <c r="T11" s="16">
        <f>Raw_SRC_V16C_Repeats!I8*100</f>
        <v>86</v>
      </c>
      <c r="U11" s="15">
        <f>Raw_SRC_V16C_Repeats!J8</f>
        <v>4000</v>
      </c>
      <c r="V11" s="15">
        <f>Raw_SRC_V16C_Repeats!K8</f>
        <v>64</v>
      </c>
      <c r="W11" s="16">
        <f>Raw_SRC_V16C_Repeats!L8</f>
        <v>0.95</v>
      </c>
      <c r="X11" s="15" t="str">
        <f>Raw_SRC_V16C_Repeats!M8</f>
        <v>(0.01, 0.1, 1.0)</v>
      </c>
      <c r="Y11" s="16">
        <f>Raw_SRC_V16C_Repeats!N8</f>
        <v>0.4</v>
      </c>
      <c r="Z11" s="15" t="str">
        <f>Raw_SRC_V16C_Repeats!O8</f>
        <v>full</v>
      </c>
      <c r="AA11" s="15" t="str">
        <f>Raw_SRC_V16C_Repeats!P8</f>
        <v>grid_selected_by_val_only_no_test</v>
      </c>
      <c r="AB11" s="15" t="str">
        <f>Raw_SRC_V16C_Repeats!R8</f>
        <v>src_v16c_final_6datasets_repeat_rows.csv</v>
      </c>
      <c r="AC11" s="15">
        <f>Raw_SRC_V16C_Repeats!S8</f>
        <v>48</v>
      </c>
    </row>
    <row r="12" ht="22" customHeight="1" spans="1:29">
      <c r="A12" s="15" t="str">
        <f>Raw_SRC_V16C_Repeats!A9</f>
        <v>amazon-computers</v>
      </c>
      <c r="B12" s="15" t="str">
        <f>"SRC-v16c repeat "&amp;Raw_SRC_V16C_Repeats!B9</f>
        <v>SRC-v16c repeat 7</v>
      </c>
      <c r="C12" s="15" t="s">
        <v>2</v>
      </c>
      <c r="D12" s="15"/>
      <c r="E12" s="16"/>
      <c r="F12" s="16"/>
      <c r="G12" s="16"/>
      <c r="H12" s="16"/>
      <c r="I12" s="16"/>
      <c r="J12" s="16"/>
      <c r="K12" s="16"/>
      <c r="L12" s="15">
        <f>Raw_SRC_V16C_Repeats!B9</f>
        <v>7</v>
      </c>
      <c r="M12" s="15">
        <f>Raw_SRC_V16C_Repeats!C9</f>
        <v>20260426</v>
      </c>
      <c r="N12" s="15">
        <f>Raw_SRC_V16C_Repeats!D9</f>
        <v>0</v>
      </c>
      <c r="O12" s="15" t="str">
        <f>Raw_SRC_V16C_Repeats!E9</f>
        <v>class_balanced_random_20_train_30_val_per_class</v>
      </c>
      <c r="P12" s="16">
        <f>Raw_SRC_V16C_Repeats!F9*100</f>
        <v>100</v>
      </c>
      <c r="Q12" s="16">
        <f>Raw_SRC_V16C_Repeats!G9*100</f>
        <v>85.3333333333333</v>
      </c>
      <c r="R12" s="16">
        <f>Raw_SRC_V16C_Repeats!H9*100</f>
        <v>80.1162088741322</v>
      </c>
      <c r="S12" s="17">
        <f>Raw_SRC_V16C_Repeats!H9</f>
        <v>0.801162088741322</v>
      </c>
      <c r="T12" s="16">
        <f>Raw_SRC_V16C_Repeats!I9*100</f>
        <v>85.3333333333333</v>
      </c>
      <c r="U12" s="15">
        <f>Raw_SRC_V16C_Repeats!J9</f>
        <v>4000</v>
      </c>
      <c r="V12" s="15">
        <f>Raw_SRC_V16C_Repeats!K9</f>
        <v>64</v>
      </c>
      <c r="W12" s="16">
        <f>Raw_SRC_V16C_Repeats!L9</f>
        <v>0.95</v>
      </c>
      <c r="X12" s="15" t="str">
        <f>Raw_SRC_V16C_Repeats!M9</f>
        <v>(0.01, 0.1, 1.0)</v>
      </c>
      <c r="Y12" s="16">
        <f>Raw_SRC_V16C_Repeats!N9</f>
        <v>0.4</v>
      </c>
      <c r="Z12" s="15" t="str">
        <f>Raw_SRC_V16C_Repeats!O9</f>
        <v>full</v>
      </c>
      <c r="AA12" s="15" t="str">
        <f>Raw_SRC_V16C_Repeats!P9</f>
        <v>grid_selected_by_val_only_no_test</v>
      </c>
      <c r="AB12" s="15" t="str">
        <f>Raw_SRC_V16C_Repeats!R9</f>
        <v>src_v16c_final_6datasets_repeat_rows.csv</v>
      </c>
      <c r="AC12" s="15">
        <f>Raw_SRC_V16C_Repeats!S9</f>
        <v>49</v>
      </c>
    </row>
    <row r="13" ht="22" customHeight="1" spans="1:29">
      <c r="A13" s="15" t="str">
        <f>Raw_SRC_V16C_Repeats!A10</f>
        <v>amazon-computers</v>
      </c>
      <c r="B13" s="15" t="str">
        <f>"SRC-v16c repeat "&amp;Raw_SRC_V16C_Repeats!B10</f>
        <v>SRC-v16c repeat 8</v>
      </c>
      <c r="C13" s="15" t="s">
        <v>2</v>
      </c>
      <c r="D13" s="15"/>
      <c r="E13" s="16"/>
      <c r="F13" s="16"/>
      <c r="G13" s="16"/>
      <c r="H13" s="16"/>
      <c r="I13" s="16"/>
      <c r="J13" s="16"/>
      <c r="K13" s="16"/>
      <c r="L13" s="15">
        <f>Raw_SRC_V16C_Repeats!B10</f>
        <v>8</v>
      </c>
      <c r="M13" s="15">
        <f>Raw_SRC_V16C_Repeats!C10</f>
        <v>20260427</v>
      </c>
      <c r="N13" s="15">
        <f>Raw_SRC_V16C_Repeats!D10</f>
        <v>0</v>
      </c>
      <c r="O13" s="15" t="str">
        <f>Raw_SRC_V16C_Repeats!E10</f>
        <v>class_balanced_random_20_train_30_val_per_class</v>
      </c>
      <c r="P13" s="16">
        <f>Raw_SRC_V16C_Repeats!F10*100</f>
        <v>100</v>
      </c>
      <c r="Q13" s="16">
        <f>Raw_SRC_V16C_Repeats!G10*100</f>
        <v>87.3333333333333</v>
      </c>
      <c r="R13" s="16">
        <f>Raw_SRC_V16C_Repeats!H10*100</f>
        <v>77.210987020827</v>
      </c>
      <c r="S13" s="17">
        <f>Raw_SRC_V16C_Repeats!H10</f>
        <v>0.77210987020827</v>
      </c>
      <c r="T13" s="16">
        <f>Raw_SRC_V16C_Repeats!I10*100</f>
        <v>87.3333333333333</v>
      </c>
      <c r="U13" s="15">
        <f>Raw_SRC_V16C_Repeats!J10</f>
        <v>4000</v>
      </c>
      <c r="V13" s="15">
        <f>Raw_SRC_V16C_Repeats!K10</f>
        <v>64</v>
      </c>
      <c r="W13" s="16">
        <f>Raw_SRC_V16C_Repeats!L10</f>
        <v>0.95</v>
      </c>
      <c r="X13" s="15" t="str">
        <f>Raw_SRC_V16C_Repeats!M10</f>
        <v>(0.01, 0.1, 1.0)</v>
      </c>
      <c r="Y13" s="16">
        <f>Raw_SRC_V16C_Repeats!N10</f>
        <v>0.6</v>
      </c>
      <c r="Z13" s="15" t="str">
        <f>Raw_SRC_V16C_Repeats!O10</f>
        <v>full</v>
      </c>
      <c r="AA13" s="15" t="str">
        <f>Raw_SRC_V16C_Repeats!P10</f>
        <v>grid_selected_by_val_only_no_test</v>
      </c>
      <c r="AB13" s="15" t="str">
        <f>Raw_SRC_V16C_Repeats!R10</f>
        <v>src_v16c_final_6datasets_repeat_rows.csv</v>
      </c>
      <c r="AC13" s="15">
        <f>Raw_SRC_V16C_Repeats!S10</f>
        <v>50</v>
      </c>
    </row>
    <row r="14" ht="22" customHeight="1" spans="1:29">
      <c r="A14" s="15" t="str">
        <f>Raw_SRC_V16C_Repeats!A11</f>
        <v>amazon-computers</v>
      </c>
      <c r="B14" s="15" t="str">
        <f>"SRC-v16c repeat "&amp;Raw_SRC_V16C_Repeats!B11</f>
        <v>SRC-v16c repeat 9</v>
      </c>
      <c r="C14" s="15" t="s">
        <v>2</v>
      </c>
      <c r="D14" s="15"/>
      <c r="E14" s="16"/>
      <c r="F14" s="16"/>
      <c r="G14" s="16"/>
      <c r="H14" s="16"/>
      <c r="I14" s="16"/>
      <c r="J14" s="16"/>
      <c r="K14" s="16"/>
      <c r="L14" s="15">
        <f>Raw_SRC_V16C_Repeats!B11</f>
        <v>9</v>
      </c>
      <c r="M14" s="15">
        <f>Raw_SRC_V16C_Repeats!C11</f>
        <v>20260428</v>
      </c>
      <c r="N14" s="15">
        <f>Raw_SRC_V16C_Repeats!D11</f>
        <v>0</v>
      </c>
      <c r="O14" s="15" t="str">
        <f>Raw_SRC_V16C_Repeats!E11</f>
        <v>class_balanced_random_20_train_30_val_per_class</v>
      </c>
      <c r="P14" s="16">
        <f>Raw_SRC_V16C_Repeats!F11*100</f>
        <v>100</v>
      </c>
      <c r="Q14" s="16">
        <f>Raw_SRC_V16C_Repeats!G11*100</f>
        <v>83</v>
      </c>
      <c r="R14" s="16">
        <f>Raw_SRC_V16C_Repeats!H11*100</f>
        <v>77.8373075762149</v>
      </c>
      <c r="S14" s="17">
        <f>Raw_SRC_V16C_Repeats!H11</f>
        <v>0.778373075762149</v>
      </c>
      <c r="T14" s="16">
        <f>Raw_SRC_V16C_Repeats!I11*100</f>
        <v>83</v>
      </c>
      <c r="U14" s="15">
        <f>Raw_SRC_V16C_Repeats!J11</f>
        <v>4000</v>
      </c>
      <c r="V14" s="15">
        <f>Raw_SRC_V16C_Repeats!K11</f>
        <v>64</v>
      </c>
      <c r="W14" s="16">
        <f>Raw_SRC_V16C_Repeats!L11</f>
        <v>0.95</v>
      </c>
      <c r="X14" s="15" t="str">
        <f>Raw_SRC_V16C_Repeats!M11</f>
        <v>(0.01, 0.1, 1.0)</v>
      </c>
      <c r="Y14" s="16">
        <f>Raw_SRC_V16C_Repeats!N11</f>
        <v>0.6</v>
      </c>
      <c r="Z14" s="15" t="str">
        <f>Raw_SRC_V16C_Repeats!O11</f>
        <v>full</v>
      </c>
      <c r="AA14" s="15" t="str">
        <f>Raw_SRC_V16C_Repeats!P11</f>
        <v>grid_selected_by_val_only_no_test</v>
      </c>
      <c r="AB14" s="15" t="str">
        <f>Raw_SRC_V16C_Repeats!R11</f>
        <v>src_v16c_final_6datasets_repeat_rows.csv</v>
      </c>
      <c r="AC14" s="15">
        <f>Raw_SRC_V16C_Repeats!S11</f>
        <v>51</v>
      </c>
    </row>
    <row r="15" ht="22" customHeight="1" spans="1:29">
      <c r="A15" s="2"/>
      <c r="B15" s="2"/>
      <c r="C15" s="2"/>
      <c r="D15" s="2"/>
      <c r="E15" s="18"/>
      <c r="F15" s="18"/>
      <c r="G15" s="18"/>
      <c r="H15" s="18"/>
      <c r="I15" s="18"/>
      <c r="J15" s="18"/>
      <c r="K15" s="18"/>
      <c r="L15" s="2"/>
      <c r="M15" s="2"/>
      <c r="N15" s="2"/>
      <c r="O15" s="2"/>
      <c r="P15" s="18"/>
      <c r="Q15" s="18"/>
      <c r="R15" s="18"/>
      <c r="S15" s="19"/>
      <c r="T15" s="18"/>
      <c r="U15" s="2"/>
      <c r="V15" s="2"/>
      <c r="W15" s="18"/>
      <c r="X15" s="2"/>
      <c r="Y15" s="18"/>
      <c r="Z15" s="2"/>
      <c r="AA15" s="2"/>
      <c r="AB15" s="2"/>
      <c r="AC15" s="2"/>
    </row>
    <row r="16" ht="22" customHeight="1" spans="1:29">
      <c r="A16" s="6" t="s">
        <v>120</v>
      </c>
    </row>
    <row r="17" ht="22" customHeight="1" spans="1:29">
      <c r="A17" s="7" t="s">
        <v>36</v>
      </c>
      <c r="B17" s="7" t="s">
        <v>115</v>
      </c>
      <c r="C17" s="7" t="s">
        <v>75</v>
      </c>
      <c r="D17" s="8">
        <f>COUNT(Raw_Strongest_Baseline_Repeats!H12:H21)</f>
        <v>10</v>
      </c>
      <c r="E17" s="9">
        <f>AVERAGE(Raw_Strongest_Baseline_Repeats!F12:F21)*100</f>
        <v>98.7500005960464</v>
      </c>
      <c r="F17" s="9">
        <f>_xlfn.STDEV.S(Raw_Strongest_Baseline_Repeats!F12:F21)*100</f>
        <v>0.883882633547107</v>
      </c>
      <c r="G17" s="9">
        <f>AVERAGE(Raw_Strongest_Baseline_Repeats!G12:G21)*100</f>
        <v>90.9999996423721</v>
      </c>
      <c r="H17" s="9">
        <f>_xlfn.STDEV.S(Raw_Strongest_Baseline_Repeats!G12:G21)*100</f>
        <v>1.24536323637433</v>
      </c>
      <c r="I17" s="9">
        <f>AVERAGE(Raw_Strongest_Baseline_Repeats!H12:H21)*100</f>
        <v>87.586207985878</v>
      </c>
      <c r="J17" s="9">
        <f>_xlfn.STDEV.S(Raw_Strongest_Baseline_Repeats!H12:H21)*100</f>
        <v>1.32727960536594</v>
      </c>
      <c r="K17" s="9" t="s">
        <v>41</v>
      </c>
      <c r="L17" s="8"/>
      <c r="M17" s="8"/>
      <c r="N17" s="8"/>
      <c r="O17" s="8"/>
      <c r="P17" s="9"/>
      <c r="Q17" s="9"/>
      <c r="R17" s="9"/>
      <c r="S17" s="10"/>
      <c r="T17" s="9"/>
      <c r="U17" s="8"/>
      <c r="V17" s="8"/>
      <c r="W17" s="9"/>
      <c r="X17" s="8"/>
      <c r="Y17" s="9"/>
      <c r="Z17" s="8"/>
      <c r="AA17" s="8"/>
      <c r="AB17" s="8" t="s">
        <v>63</v>
      </c>
      <c r="AC17" s="8" t="s">
        <v>121</v>
      </c>
    </row>
    <row r="18" ht="22" customHeight="1" spans="1:29">
      <c r="A18" s="11" t="s">
        <v>36</v>
      </c>
      <c r="B18" s="11" t="s">
        <v>117</v>
      </c>
      <c r="C18" s="11" t="s">
        <v>2</v>
      </c>
      <c r="D18" s="12">
        <f>COUNT(Raw_SRC_V16C_Repeats!H12:H21)</f>
        <v>10</v>
      </c>
      <c r="E18" s="13">
        <f>AVERAGE(Raw_SRC_V16C_Repeats!F12:F21)*100</f>
        <v>100</v>
      </c>
      <c r="F18" s="13">
        <f>_xlfn.STDEV.S(Raw_SRC_V16C_Repeats!F12:F21)*100</f>
        <v>0</v>
      </c>
      <c r="G18" s="13">
        <f>AVERAGE(Raw_SRC_V16C_Repeats!G12:G21)*100</f>
        <v>91.6666666666667</v>
      </c>
      <c r="H18" s="13">
        <f>_xlfn.STDEV.S(Raw_SRC_V16C_Repeats!G12:G21)*100</f>
        <v>2.20479275922049</v>
      </c>
      <c r="I18" s="13">
        <f>AVERAGE(Raw_SRC_V16C_Repeats!H12:H21)*100</f>
        <v>88.76</v>
      </c>
      <c r="J18" s="13">
        <f>_xlfn.STDEV.S(Raw_SRC_V16C_Repeats!H12:H21)*100</f>
        <v>1.3532784870439</v>
      </c>
      <c r="K18" s="13">
        <f>I18-I17</f>
        <v>1.173792014122</v>
      </c>
      <c r="L18" s="12"/>
      <c r="M18" s="12"/>
      <c r="N18" s="12"/>
      <c r="O18" s="12"/>
      <c r="P18" s="13"/>
      <c r="Q18" s="13"/>
      <c r="R18" s="13"/>
      <c r="S18" s="14"/>
      <c r="T18" s="13"/>
      <c r="U18" s="12"/>
      <c r="V18" s="12"/>
      <c r="W18" s="13"/>
      <c r="X18" s="12"/>
      <c r="Y18" s="13"/>
      <c r="Z18" s="12"/>
      <c r="AA18" s="12"/>
      <c r="AB18" s="12" t="s">
        <v>118</v>
      </c>
      <c r="AC18" s="12" t="s">
        <v>122</v>
      </c>
    </row>
    <row r="19" ht="22" customHeight="1" spans="1:29">
      <c r="A19" s="15" t="str">
        <f>Raw_SRC_V16C_Repeats!A12</f>
        <v>amazon-photo</v>
      </c>
      <c r="B19" s="15" t="str">
        <f>"SRC-v16c repeat "&amp;Raw_SRC_V16C_Repeats!B12</f>
        <v>SRC-v16c repeat 0</v>
      </c>
      <c r="C19" s="15" t="s">
        <v>2</v>
      </c>
      <c r="D19" s="15"/>
      <c r="E19" s="16"/>
      <c r="F19" s="16"/>
      <c r="G19" s="16"/>
      <c r="H19" s="16"/>
      <c r="I19" s="16"/>
      <c r="J19" s="16"/>
      <c r="K19" s="16"/>
      <c r="L19" s="15">
        <f>Raw_SRC_V16C_Repeats!B12</f>
        <v>0</v>
      </c>
      <c r="M19" s="15">
        <f>Raw_SRC_V16C_Repeats!C12</f>
        <v>20260419</v>
      </c>
      <c r="N19" s="15">
        <f>Raw_SRC_V16C_Repeats!D12</f>
        <v>0</v>
      </c>
      <c r="O19" s="15" t="str">
        <f>Raw_SRC_V16C_Repeats!E12</f>
        <v>class_balanced_random_20_train_30_val_per_class</v>
      </c>
      <c r="P19" s="16">
        <f>Raw_SRC_V16C_Repeats!F12*100</f>
        <v>100</v>
      </c>
      <c r="Q19" s="16">
        <f>Raw_SRC_V16C_Repeats!G12*100</f>
        <v>92.5</v>
      </c>
      <c r="R19" s="16">
        <f>Raw_SRC_V16C_Repeats!H12*100</f>
        <v>88.6758620689655</v>
      </c>
      <c r="S19" s="17">
        <f>Raw_SRC_V16C_Repeats!H12</f>
        <v>0.886758620689655</v>
      </c>
      <c r="T19" s="16">
        <f>Raw_SRC_V16C_Repeats!I12*100</f>
        <v>92.5</v>
      </c>
      <c r="U19" s="15">
        <f>Raw_SRC_V16C_Repeats!J12</f>
        <v>4000</v>
      </c>
      <c r="V19" s="15">
        <f>Raw_SRC_V16C_Repeats!K12</f>
        <v>32</v>
      </c>
      <c r="W19" s="16">
        <f>Raw_SRC_V16C_Repeats!L12</f>
        <v>0.9</v>
      </c>
      <c r="X19" s="15" t="str">
        <f>Raw_SRC_V16C_Repeats!M12</f>
        <v>(0.01, 0.1, 1.0)</v>
      </c>
      <c r="Y19" s="16">
        <f>Raw_SRC_V16C_Repeats!N12</f>
        <v>0.4</v>
      </c>
      <c r="Z19" s="15" t="str">
        <f>Raw_SRC_V16C_Repeats!O12</f>
        <v>full</v>
      </c>
      <c r="AA19" s="15" t="str">
        <f>Raw_SRC_V16C_Repeats!P12</f>
        <v>grid_selected_by_val_only_no_test</v>
      </c>
      <c r="AB19" s="15" t="str">
        <f>Raw_SRC_V16C_Repeats!R12</f>
        <v>src_v16c_final_6datasets_repeat_rows.csv</v>
      </c>
      <c r="AC19" s="15">
        <f>Raw_SRC_V16C_Repeats!S12</f>
        <v>32</v>
      </c>
    </row>
    <row r="20" ht="22" customHeight="1" spans="1:29">
      <c r="A20" s="15" t="str">
        <f>Raw_SRC_V16C_Repeats!A13</f>
        <v>amazon-photo</v>
      </c>
      <c r="B20" s="15" t="str">
        <f>"SRC-v16c repeat "&amp;Raw_SRC_V16C_Repeats!B13</f>
        <v>SRC-v16c repeat 1</v>
      </c>
      <c r="C20" s="15" t="s">
        <v>2</v>
      </c>
      <c r="D20" s="15"/>
      <c r="E20" s="16"/>
      <c r="F20" s="16"/>
      <c r="G20" s="16"/>
      <c r="H20" s="16"/>
      <c r="I20" s="16"/>
      <c r="J20" s="16"/>
      <c r="K20" s="16"/>
      <c r="L20" s="15">
        <f>Raw_SRC_V16C_Repeats!B13</f>
        <v>1</v>
      </c>
      <c r="M20" s="15">
        <f>Raw_SRC_V16C_Repeats!C13</f>
        <v>20260420</v>
      </c>
      <c r="N20" s="15">
        <f>Raw_SRC_V16C_Repeats!D13</f>
        <v>0</v>
      </c>
      <c r="O20" s="15" t="str">
        <f>Raw_SRC_V16C_Repeats!E13</f>
        <v>class_balanced_random_20_train_30_val_per_class</v>
      </c>
      <c r="P20" s="16">
        <f>Raw_SRC_V16C_Repeats!F13*100</f>
        <v>100</v>
      </c>
      <c r="Q20" s="16">
        <f>Raw_SRC_V16C_Repeats!G13*100</f>
        <v>94.5833333333333</v>
      </c>
      <c r="R20" s="16">
        <f>Raw_SRC_V16C_Repeats!H13*100</f>
        <v>88.9793103448276</v>
      </c>
      <c r="S20" s="17">
        <f>Raw_SRC_V16C_Repeats!H13</f>
        <v>0.889793103448276</v>
      </c>
      <c r="T20" s="16">
        <f>Raw_SRC_V16C_Repeats!I13*100</f>
        <v>94.5833333333333</v>
      </c>
      <c r="U20" s="15">
        <f>Raw_SRC_V16C_Repeats!J13</f>
        <v>4000</v>
      </c>
      <c r="V20" s="15">
        <f>Raw_SRC_V16C_Repeats!K13</f>
        <v>32</v>
      </c>
      <c r="W20" s="16">
        <f>Raw_SRC_V16C_Repeats!L13</f>
        <v>0.9</v>
      </c>
      <c r="X20" s="15" t="str">
        <f>Raw_SRC_V16C_Repeats!M13</f>
        <v>(0.01, 0.1, 1.0)</v>
      </c>
      <c r="Y20" s="16">
        <f>Raw_SRC_V16C_Repeats!N13</f>
        <v>0.7</v>
      </c>
      <c r="Z20" s="15" t="str">
        <f>Raw_SRC_V16C_Repeats!O13</f>
        <v>full</v>
      </c>
      <c r="AA20" s="15" t="str">
        <f>Raw_SRC_V16C_Repeats!P13</f>
        <v>grid_selected_by_val_only_no_test</v>
      </c>
      <c r="AB20" s="15" t="str">
        <f>Raw_SRC_V16C_Repeats!R13</f>
        <v>src_v16c_final_6datasets_repeat_rows.csv</v>
      </c>
      <c r="AC20" s="15">
        <f>Raw_SRC_V16C_Repeats!S13</f>
        <v>33</v>
      </c>
    </row>
    <row r="21" ht="22" customHeight="1" spans="1:29">
      <c r="A21" s="15" t="str">
        <f>Raw_SRC_V16C_Repeats!A14</f>
        <v>amazon-photo</v>
      </c>
      <c r="B21" s="15" t="str">
        <f>"SRC-v16c repeat "&amp;Raw_SRC_V16C_Repeats!B14</f>
        <v>SRC-v16c repeat 2</v>
      </c>
      <c r="C21" s="15" t="s">
        <v>2</v>
      </c>
      <c r="D21" s="15"/>
      <c r="E21" s="16"/>
      <c r="F21" s="16"/>
      <c r="G21" s="16"/>
      <c r="H21" s="16"/>
      <c r="I21" s="16"/>
      <c r="J21" s="16"/>
      <c r="K21" s="16"/>
      <c r="L21" s="15">
        <f>Raw_SRC_V16C_Repeats!B14</f>
        <v>2</v>
      </c>
      <c r="M21" s="15">
        <f>Raw_SRC_V16C_Repeats!C14</f>
        <v>20260421</v>
      </c>
      <c r="N21" s="15">
        <f>Raw_SRC_V16C_Repeats!D14</f>
        <v>0</v>
      </c>
      <c r="O21" s="15" t="str">
        <f>Raw_SRC_V16C_Repeats!E14</f>
        <v>class_balanced_random_20_train_30_val_per_class</v>
      </c>
      <c r="P21" s="16">
        <f>Raw_SRC_V16C_Repeats!F14*100</f>
        <v>100</v>
      </c>
      <c r="Q21" s="16">
        <f>Raw_SRC_V16C_Repeats!G14*100</f>
        <v>90</v>
      </c>
      <c r="R21" s="16">
        <f>Raw_SRC_V16C_Repeats!H14*100</f>
        <v>85.6827586206897</v>
      </c>
      <c r="S21" s="17">
        <f>Raw_SRC_V16C_Repeats!H14</f>
        <v>0.856827586206897</v>
      </c>
      <c r="T21" s="16">
        <f>Raw_SRC_V16C_Repeats!I14*100</f>
        <v>90</v>
      </c>
      <c r="U21" s="15">
        <f>Raw_SRC_V16C_Repeats!J14</f>
        <v>4000</v>
      </c>
      <c r="V21" s="15">
        <f>Raw_SRC_V16C_Repeats!K14</f>
        <v>32</v>
      </c>
      <c r="W21" s="16">
        <f>Raw_SRC_V16C_Repeats!L14</f>
        <v>0.9</v>
      </c>
      <c r="X21" s="15" t="str">
        <f>Raw_SRC_V16C_Repeats!M14</f>
        <v>(0.05, 0.5, 5.0)</v>
      </c>
      <c r="Y21" s="16">
        <f>Raw_SRC_V16C_Repeats!N14</f>
        <v>0.6</v>
      </c>
      <c r="Z21" s="15" t="str">
        <f>Raw_SRC_V16C_Repeats!O14</f>
        <v>full</v>
      </c>
      <c r="AA21" s="15" t="str">
        <f>Raw_SRC_V16C_Repeats!P14</f>
        <v>grid_selected_by_val_only_no_test</v>
      </c>
      <c r="AB21" s="15" t="str">
        <f>Raw_SRC_V16C_Repeats!R14</f>
        <v>src_v16c_final_6datasets_repeat_rows.csv</v>
      </c>
      <c r="AC21" s="15">
        <f>Raw_SRC_V16C_Repeats!S14</f>
        <v>34</v>
      </c>
    </row>
    <row r="22" ht="22" customHeight="1" spans="1:29">
      <c r="A22" s="15" t="str">
        <f>Raw_SRC_V16C_Repeats!A15</f>
        <v>amazon-photo</v>
      </c>
      <c r="B22" s="15" t="str">
        <f>"SRC-v16c repeat "&amp;Raw_SRC_V16C_Repeats!B15</f>
        <v>SRC-v16c repeat 3</v>
      </c>
      <c r="C22" s="15" t="s">
        <v>2</v>
      </c>
      <c r="D22" s="15"/>
      <c r="E22" s="16"/>
      <c r="F22" s="16"/>
      <c r="G22" s="16"/>
      <c r="H22" s="16"/>
      <c r="I22" s="16"/>
      <c r="J22" s="16"/>
      <c r="K22" s="16"/>
      <c r="L22" s="15">
        <f>Raw_SRC_V16C_Repeats!B15</f>
        <v>3</v>
      </c>
      <c r="M22" s="15">
        <f>Raw_SRC_V16C_Repeats!C15</f>
        <v>20260422</v>
      </c>
      <c r="N22" s="15">
        <f>Raw_SRC_V16C_Repeats!D15</f>
        <v>0</v>
      </c>
      <c r="O22" s="15" t="str">
        <f>Raw_SRC_V16C_Repeats!E15</f>
        <v>class_balanced_random_20_train_30_val_per_class</v>
      </c>
      <c r="P22" s="16">
        <f>Raw_SRC_V16C_Repeats!F15*100</f>
        <v>100</v>
      </c>
      <c r="Q22" s="16">
        <f>Raw_SRC_V16C_Repeats!G15*100</f>
        <v>89.1666666666667</v>
      </c>
      <c r="R22" s="16">
        <f>Raw_SRC_V16C_Repeats!H15*100</f>
        <v>89.9586206896552</v>
      </c>
      <c r="S22" s="17">
        <f>Raw_SRC_V16C_Repeats!H15</f>
        <v>0.899586206896552</v>
      </c>
      <c r="T22" s="16">
        <f>Raw_SRC_V16C_Repeats!I15*100</f>
        <v>89.1666666666667</v>
      </c>
      <c r="U22" s="15">
        <f>Raw_SRC_V16C_Repeats!J15</f>
        <v>4000</v>
      </c>
      <c r="V22" s="15">
        <f>Raw_SRC_V16C_Repeats!K15</f>
        <v>32</v>
      </c>
      <c r="W22" s="16">
        <f>Raw_SRC_V16C_Repeats!L15</f>
        <v>0.9</v>
      </c>
      <c r="X22" s="15" t="str">
        <f>Raw_SRC_V16C_Repeats!M15</f>
        <v>(0.01, 0.1, 1.0)</v>
      </c>
      <c r="Y22" s="16">
        <f>Raw_SRC_V16C_Repeats!N15</f>
        <v>0.8</v>
      </c>
      <c r="Z22" s="15" t="str">
        <f>Raw_SRC_V16C_Repeats!O15</f>
        <v>full</v>
      </c>
      <c r="AA22" s="15" t="str">
        <f>Raw_SRC_V16C_Repeats!P15</f>
        <v>grid_selected_by_val_only_no_test</v>
      </c>
      <c r="AB22" s="15" t="str">
        <f>Raw_SRC_V16C_Repeats!R15</f>
        <v>src_v16c_final_6datasets_repeat_rows.csv</v>
      </c>
      <c r="AC22" s="15">
        <f>Raw_SRC_V16C_Repeats!S15</f>
        <v>35</v>
      </c>
    </row>
    <row r="23" ht="22" customHeight="1" spans="1:29">
      <c r="A23" s="15" t="str">
        <f>Raw_SRC_V16C_Repeats!A16</f>
        <v>amazon-photo</v>
      </c>
      <c r="B23" s="15" t="str">
        <f>"SRC-v16c repeat "&amp;Raw_SRC_V16C_Repeats!B16</f>
        <v>SRC-v16c repeat 4</v>
      </c>
      <c r="C23" s="15" t="s">
        <v>2</v>
      </c>
      <c r="D23" s="15"/>
      <c r="E23" s="16"/>
      <c r="F23" s="16"/>
      <c r="G23" s="16"/>
      <c r="H23" s="16"/>
      <c r="I23" s="16"/>
      <c r="J23" s="16"/>
      <c r="K23" s="16"/>
      <c r="L23" s="15">
        <f>Raw_SRC_V16C_Repeats!B16</f>
        <v>4</v>
      </c>
      <c r="M23" s="15">
        <f>Raw_SRC_V16C_Repeats!C16</f>
        <v>20260423</v>
      </c>
      <c r="N23" s="15">
        <f>Raw_SRC_V16C_Repeats!D16</f>
        <v>0</v>
      </c>
      <c r="O23" s="15" t="str">
        <f>Raw_SRC_V16C_Repeats!E16</f>
        <v>class_balanced_random_20_train_30_val_per_class</v>
      </c>
      <c r="P23" s="16">
        <f>Raw_SRC_V16C_Repeats!F16*100</f>
        <v>100</v>
      </c>
      <c r="Q23" s="16">
        <f>Raw_SRC_V16C_Repeats!G16*100</f>
        <v>91.25</v>
      </c>
      <c r="R23" s="16">
        <f>Raw_SRC_V16C_Repeats!H16*100</f>
        <v>89.4896551724138</v>
      </c>
      <c r="S23" s="17">
        <f>Raw_SRC_V16C_Repeats!H16</f>
        <v>0.894896551724138</v>
      </c>
      <c r="T23" s="16">
        <f>Raw_SRC_V16C_Repeats!I16*100</f>
        <v>91.25</v>
      </c>
      <c r="U23" s="15">
        <f>Raw_SRC_V16C_Repeats!J16</f>
        <v>4000</v>
      </c>
      <c r="V23" s="15">
        <f>Raw_SRC_V16C_Repeats!K16</f>
        <v>32</v>
      </c>
      <c r="W23" s="16">
        <f>Raw_SRC_V16C_Repeats!L16</f>
        <v>0.9</v>
      </c>
      <c r="X23" s="15" t="str">
        <f>Raw_SRC_V16C_Repeats!M16</f>
        <v>(0.1, 1.0, 10.0)</v>
      </c>
      <c r="Y23" s="16">
        <f>Raw_SRC_V16C_Repeats!N16</f>
        <v>0.7</v>
      </c>
      <c r="Z23" s="15" t="str">
        <f>Raw_SRC_V16C_Repeats!O16</f>
        <v>full</v>
      </c>
      <c r="AA23" s="15" t="str">
        <f>Raw_SRC_V16C_Repeats!P16</f>
        <v>grid_selected_by_val_only_no_test</v>
      </c>
      <c r="AB23" s="15" t="str">
        <f>Raw_SRC_V16C_Repeats!R16</f>
        <v>src_v16c_final_6datasets_repeat_rows.csv</v>
      </c>
      <c r="AC23" s="15">
        <f>Raw_SRC_V16C_Repeats!S16</f>
        <v>36</v>
      </c>
    </row>
    <row r="24" ht="22" customHeight="1" spans="1:29">
      <c r="A24" s="15" t="str">
        <f>Raw_SRC_V16C_Repeats!A17</f>
        <v>amazon-photo</v>
      </c>
      <c r="B24" s="15" t="str">
        <f>"SRC-v16c repeat "&amp;Raw_SRC_V16C_Repeats!B17</f>
        <v>SRC-v16c repeat 5</v>
      </c>
      <c r="C24" s="15" t="s">
        <v>2</v>
      </c>
      <c r="D24" s="15"/>
      <c r="E24" s="16"/>
      <c r="F24" s="16"/>
      <c r="G24" s="16"/>
      <c r="H24" s="16"/>
      <c r="I24" s="16"/>
      <c r="J24" s="16"/>
      <c r="K24" s="16"/>
      <c r="L24" s="15">
        <f>Raw_SRC_V16C_Repeats!B17</f>
        <v>5</v>
      </c>
      <c r="M24" s="15">
        <f>Raw_SRC_V16C_Repeats!C17</f>
        <v>20260424</v>
      </c>
      <c r="N24" s="15">
        <f>Raw_SRC_V16C_Repeats!D17</f>
        <v>0</v>
      </c>
      <c r="O24" s="15" t="str">
        <f>Raw_SRC_V16C_Repeats!E17</f>
        <v>class_balanced_random_20_train_30_val_per_class</v>
      </c>
      <c r="P24" s="16">
        <f>Raw_SRC_V16C_Repeats!F17*100</f>
        <v>100</v>
      </c>
      <c r="Q24" s="16">
        <f>Raw_SRC_V16C_Repeats!G17*100</f>
        <v>94.5833333333333</v>
      </c>
      <c r="R24" s="16">
        <f>Raw_SRC_V16C_Repeats!H17*100</f>
        <v>89.4758620689655</v>
      </c>
      <c r="S24" s="17">
        <f>Raw_SRC_V16C_Repeats!H17</f>
        <v>0.894758620689655</v>
      </c>
      <c r="T24" s="16">
        <f>Raw_SRC_V16C_Repeats!I17*100</f>
        <v>94.5833333333333</v>
      </c>
      <c r="U24" s="15">
        <f>Raw_SRC_V16C_Repeats!J17</f>
        <v>5000</v>
      </c>
      <c r="V24" s="15">
        <f>Raw_SRC_V16C_Repeats!K17</f>
        <v>32</v>
      </c>
      <c r="W24" s="16">
        <f>Raw_SRC_V16C_Repeats!L17</f>
        <v>0.9</v>
      </c>
      <c r="X24" s="15" t="str">
        <f>Raw_SRC_V16C_Repeats!M17</f>
        <v>(0.01, 0.1, 1.0)</v>
      </c>
      <c r="Y24" s="16">
        <f>Raw_SRC_V16C_Repeats!N17</f>
        <v>0.6</v>
      </c>
      <c r="Z24" s="15" t="str">
        <f>Raw_SRC_V16C_Repeats!O17</f>
        <v>full</v>
      </c>
      <c r="AA24" s="15" t="str">
        <f>Raw_SRC_V16C_Repeats!P17</f>
        <v>grid_selected_by_val_only_no_test</v>
      </c>
      <c r="AB24" s="15" t="str">
        <f>Raw_SRC_V16C_Repeats!R17</f>
        <v>src_v16c_final_6datasets_repeat_rows.csv</v>
      </c>
      <c r="AC24" s="15">
        <f>Raw_SRC_V16C_Repeats!S17</f>
        <v>37</v>
      </c>
    </row>
    <row r="25" ht="22" customHeight="1" spans="1:29">
      <c r="A25" s="15" t="str">
        <f>Raw_SRC_V16C_Repeats!A18</f>
        <v>amazon-photo</v>
      </c>
      <c r="B25" s="15" t="str">
        <f>"SRC-v16c repeat "&amp;Raw_SRC_V16C_Repeats!B18</f>
        <v>SRC-v16c repeat 6</v>
      </c>
      <c r="C25" s="15" t="s">
        <v>2</v>
      </c>
      <c r="D25" s="15"/>
      <c r="E25" s="16"/>
      <c r="F25" s="16"/>
      <c r="G25" s="16"/>
      <c r="H25" s="16"/>
      <c r="I25" s="16"/>
      <c r="J25" s="16"/>
      <c r="K25" s="16"/>
      <c r="L25" s="15">
        <f>Raw_SRC_V16C_Repeats!B18</f>
        <v>6</v>
      </c>
      <c r="M25" s="15">
        <f>Raw_SRC_V16C_Repeats!C18</f>
        <v>20260425</v>
      </c>
      <c r="N25" s="15">
        <f>Raw_SRC_V16C_Repeats!D18</f>
        <v>0</v>
      </c>
      <c r="O25" s="15" t="str">
        <f>Raw_SRC_V16C_Repeats!E18</f>
        <v>class_balanced_random_20_train_30_val_per_class</v>
      </c>
      <c r="P25" s="16">
        <f>Raw_SRC_V16C_Repeats!F18*100</f>
        <v>100</v>
      </c>
      <c r="Q25" s="16">
        <f>Raw_SRC_V16C_Repeats!G18*100</f>
        <v>89.1666666666667</v>
      </c>
      <c r="R25" s="16">
        <f>Raw_SRC_V16C_Repeats!H18*100</f>
        <v>88.6068965517241</v>
      </c>
      <c r="S25" s="17">
        <f>Raw_SRC_V16C_Repeats!H18</f>
        <v>0.886068965517241</v>
      </c>
      <c r="T25" s="16">
        <f>Raw_SRC_V16C_Repeats!I18*100</f>
        <v>89.1666666666667</v>
      </c>
      <c r="U25" s="15">
        <f>Raw_SRC_V16C_Repeats!J18</f>
        <v>4000</v>
      </c>
      <c r="V25" s="15">
        <f>Raw_SRC_V16C_Repeats!K18</f>
        <v>32</v>
      </c>
      <c r="W25" s="16">
        <f>Raw_SRC_V16C_Repeats!L18</f>
        <v>0.9</v>
      </c>
      <c r="X25" s="15" t="str">
        <f>Raw_SRC_V16C_Repeats!M18</f>
        <v>(0.01, 0.1, 1.0)</v>
      </c>
      <c r="Y25" s="16">
        <f>Raw_SRC_V16C_Repeats!N18</f>
        <v>0.5</v>
      </c>
      <c r="Z25" s="15" t="str">
        <f>Raw_SRC_V16C_Repeats!O18</f>
        <v>full</v>
      </c>
      <c r="AA25" s="15" t="str">
        <f>Raw_SRC_V16C_Repeats!P18</f>
        <v>grid_selected_by_val_only_no_test</v>
      </c>
      <c r="AB25" s="15" t="str">
        <f>Raw_SRC_V16C_Repeats!R18</f>
        <v>src_v16c_final_6datasets_repeat_rows.csv</v>
      </c>
      <c r="AC25" s="15">
        <f>Raw_SRC_V16C_Repeats!S18</f>
        <v>38</v>
      </c>
    </row>
    <row r="26" ht="22" customHeight="1" spans="1:29">
      <c r="A26" s="15" t="str">
        <f>Raw_SRC_V16C_Repeats!A19</f>
        <v>amazon-photo</v>
      </c>
      <c r="B26" s="15" t="str">
        <f>"SRC-v16c repeat "&amp;Raw_SRC_V16C_Repeats!B19</f>
        <v>SRC-v16c repeat 7</v>
      </c>
      <c r="C26" s="15" t="s">
        <v>2</v>
      </c>
      <c r="D26" s="15"/>
      <c r="E26" s="16"/>
      <c r="F26" s="16"/>
      <c r="G26" s="16"/>
      <c r="H26" s="16"/>
      <c r="I26" s="16"/>
      <c r="J26" s="16"/>
      <c r="K26" s="16"/>
      <c r="L26" s="15">
        <f>Raw_SRC_V16C_Repeats!B19</f>
        <v>7</v>
      </c>
      <c r="M26" s="15">
        <f>Raw_SRC_V16C_Repeats!C19</f>
        <v>20260426</v>
      </c>
      <c r="N26" s="15">
        <f>Raw_SRC_V16C_Repeats!D19</f>
        <v>0</v>
      </c>
      <c r="O26" s="15" t="str">
        <f>Raw_SRC_V16C_Repeats!E19</f>
        <v>class_balanced_random_20_train_30_val_per_class</v>
      </c>
      <c r="P26" s="16">
        <f>Raw_SRC_V16C_Repeats!F19*100</f>
        <v>100</v>
      </c>
      <c r="Q26" s="16">
        <f>Raw_SRC_V16C_Repeats!G19*100</f>
        <v>93.3333333333333</v>
      </c>
      <c r="R26" s="16">
        <f>Raw_SRC_V16C_Repeats!H19*100</f>
        <v>87.8068965517241</v>
      </c>
      <c r="S26" s="17">
        <f>Raw_SRC_V16C_Repeats!H19</f>
        <v>0.878068965517241</v>
      </c>
      <c r="T26" s="16">
        <f>Raw_SRC_V16C_Repeats!I19*100</f>
        <v>93.3333333333333</v>
      </c>
      <c r="U26" s="15">
        <f>Raw_SRC_V16C_Repeats!J19</f>
        <v>4000</v>
      </c>
      <c r="V26" s="15">
        <f>Raw_SRC_V16C_Repeats!K19</f>
        <v>32</v>
      </c>
      <c r="W26" s="16">
        <f>Raw_SRC_V16C_Repeats!L19</f>
        <v>0.95</v>
      </c>
      <c r="X26" s="15" t="str">
        <f>Raw_SRC_V16C_Repeats!M19</f>
        <v>(0.01, 0.1, 1.0)</v>
      </c>
      <c r="Y26" s="16">
        <f>Raw_SRC_V16C_Repeats!N19</f>
        <v>0.3</v>
      </c>
      <c r="Z26" s="15" t="str">
        <f>Raw_SRC_V16C_Repeats!O19</f>
        <v>full</v>
      </c>
      <c r="AA26" s="15" t="str">
        <f>Raw_SRC_V16C_Repeats!P19</f>
        <v>grid_selected_by_val_only_no_test</v>
      </c>
      <c r="AB26" s="15" t="str">
        <f>Raw_SRC_V16C_Repeats!R19</f>
        <v>src_v16c_final_6datasets_repeat_rows.csv</v>
      </c>
      <c r="AC26" s="15">
        <f>Raw_SRC_V16C_Repeats!S19</f>
        <v>39</v>
      </c>
    </row>
    <row r="27" ht="22" customHeight="1" spans="1:29">
      <c r="A27" s="15" t="str">
        <f>Raw_SRC_V16C_Repeats!A20</f>
        <v>amazon-photo</v>
      </c>
      <c r="B27" s="15" t="str">
        <f>"SRC-v16c repeat "&amp;Raw_SRC_V16C_Repeats!B20</f>
        <v>SRC-v16c repeat 8</v>
      </c>
      <c r="C27" s="15" t="s">
        <v>2</v>
      </c>
      <c r="D27" s="15"/>
      <c r="E27" s="16"/>
      <c r="F27" s="16"/>
      <c r="G27" s="16"/>
      <c r="H27" s="16"/>
      <c r="I27" s="16"/>
      <c r="J27" s="16"/>
      <c r="K27" s="16"/>
      <c r="L27" s="15">
        <f>Raw_SRC_V16C_Repeats!B20</f>
        <v>8</v>
      </c>
      <c r="M27" s="15">
        <f>Raw_SRC_V16C_Repeats!C20</f>
        <v>20260427</v>
      </c>
      <c r="N27" s="15">
        <f>Raw_SRC_V16C_Repeats!D20</f>
        <v>0</v>
      </c>
      <c r="O27" s="15" t="str">
        <f>Raw_SRC_V16C_Repeats!E20</f>
        <v>class_balanced_random_20_train_30_val_per_class</v>
      </c>
      <c r="P27" s="16">
        <f>Raw_SRC_V16C_Repeats!F20*100</f>
        <v>100</v>
      </c>
      <c r="Q27" s="16">
        <f>Raw_SRC_V16C_Repeats!G20*100</f>
        <v>92.9166666666667</v>
      </c>
      <c r="R27" s="16">
        <f>Raw_SRC_V16C_Repeats!H20*100</f>
        <v>90.5931034482759</v>
      </c>
      <c r="S27" s="17">
        <f>Raw_SRC_V16C_Repeats!H20</f>
        <v>0.905931034482759</v>
      </c>
      <c r="T27" s="16">
        <f>Raw_SRC_V16C_Repeats!I20*100</f>
        <v>92.9166666666667</v>
      </c>
      <c r="U27" s="15">
        <f>Raw_SRC_V16C_Repeats!J20</f>
        <v>4000</v>
      </c>
      <c r="V27" s="15">
        <f>Raw_SRC_V16C_Repeats!K20</f>
        <v>32</v>
      </c>
      <c r="W27" s="16">
        <f>Raw_SRC_V16C_Repeats!L20</f>
        <v>0.9</v>
      </c>
      <c r="X27" s="15" t="str">
        <f>Raw_SRC_V16C_Repeats!M20</f>
        <v>(0.01, 0.1, 1.0)</v>
      </c>
      <c r="Y27" s="16">
        <f>Raw_SRC_V16C_Repeats!N20</f>
        <v>0.5</v>
      </c>
      <c r="Z27" s="15" t="str">
        <f>Raw_SRC_V16C_Repeats!O20</f>
        <v>full</v>
      </c>
      <c r="AA27" s="15" t="str">
        <f>Raw_SRC_V16C_Repeats!P20</f>
        <v>grid_selected_by_val_only_no_test</v>
      </c>
      <c r="AB27" s="15" t="str">
        <f>Raw_SRC_V16C_Repeats!R20</f>
        <v>src_v16c_final_6datasets_repeat_rows.csv</v>
      </c>
      <c r="AC27" s="15">
        <f>Raw_SRC_V16C_Repeats!S20</f>
        <v>40</v>
      </c>
    </row>
    <row r="28" ht="22" customHeight="1" spans="1:29">
      <c r="A28" s="15" t="str">
        <f>Raw_SRC_V16C_Repeats!A21</f>
        <v>amazon-photo</v>
      </c>
      <c r="B28" s="15" t="str">
        <f>"SRC-v16c repeat "&amp;Raw_SRC_V16C_Repeats!B21</f>
        <v>SRC-v16c repeat 9</v>
      </c>
      <c r="C28" s="15" t="s">
        <v>2</v>
      </c>
      <c r="D28" s="15"/>
      <c r="E28" s="16"/>
      <c r="F28" s="16"/>
      <c r="G28" s="16"/>
      <c r="H28" s="16"/>
      <c r="I28" s="16"/>
      <c r="J28" s="16"/>
      <c r="K28" s="16"/>
      <c r="L28" s="15">
        <f>Raw_SRC_V16C_Repeats!B21</f>
        <v>9</v>
      </c>
      <c r="M28" s="15">
        <f>Raw_SRC_V16C_Repeats!C21</f>
        <v>20260428</v>
      </c>
      <c r="N28" s="15">
        <f>Raw_SRC_V16C_Repeats!D21</f>
        <v>0</v>
      </c>
      <c r="O28" s="15" t="str">
        <f>Raw_SRC_V16C_Repeats!E21</f>
        <v>class_balanced_random_20_train_30_val_per_class</v>
      </c>
      <c r="P28" s="16">
        <f>Raw_SRC_V16C_Repeats!F21*100</f>
        <v>100</v>
      </c>
      <c r="Q28" s="16">
        <f>Raw_SRC_V16C_Repeats!G21*100</f>
        <v>89.1666666666667</v>
      </c>
      <c r="R28" s="16">
        <f>Raw_SRC_V16C_Repeats!H21*100</f>
        <v>88.3310344827586</v>
      </c>
      <c r="S28" s="17">
        <f>Raw_SRC_V16C_Repeats!H21</f>
        <v>0.883310344827586</v>
      </c>
      <c r="T28" s="16">
        <f>Raw_SRC_V16C_Repeats!I21*100</f>
        <v>89.1666666666667</v>
      </c>
      <c r="U28" s="15">
        <f>Raw_SRC_V16C_Repeats!J21</f>
        <v>5000</v>
      </c>
      <c r="V28" s="15">
        <f>Raw_SRC_V16C_Repeats!K21</f>
        <v>32</v>
      </c>
      <c r="W28" s="16">
        <f>Raw_SRC_V16C_Repeats!L21</f>
        <v>0.9</v>
      </c>
      <c r="X28" s="15" t="str">
        <f>Raw_SRC_V16C_Repeats!M21</f>
        <v>(0.01, 0.1, 1.0)</v>
      </c>
      <c r="Y28" s="16">
        <f>Raw_SRC_V16C_Repeats!N21</f>
        <v>0.4</v>
      </c>
      <c r="Z28" s="15" t="str">
        <f>Raw_SRC_V16C_Repeats!O21</f>
        <v>full</v>
      </c>
      <c r="AA28" s="15" t="str">
        <f>Raw_SRC_V16C_Repeats!P21</f>
        <v>grid_selected_by_val_only_no_test</v>
      </c>
      <c r="AB28" s="15" t="str">
        <f>Raw_SRC_V16C_Repeats!R21</f>
        <v>src_v16c_final_6datasets_repeat_rows.csv</v>
      </c>
      <c r="AC28" s="15">
        <f>Raw_SRC_V16C_Repeats!S21</f>
        <v>41</v>
      </c>
    </row>
    <row r="29" ht="22" customHeight="1" spans="1:29">
      <c r="A29" s="2"/>
      <c r="B29" s="2"/>
      <c r="C29" s="2"/>
      <c r="D29" s="2"/>
      <c r="E29" s="18"/>
      <c r="F29" s="18"/>
      <c r="G29" s="18"/>
      <c r="H29" s="18"/>
      <c r="I29" s="18"/>
      <c r="J29" s="18"/>
      <c r="K29" s="18"/>
      <c r="L29" s="2"/>
      <c r="M29" s="2"/>
      <c r="N29" s="2"/>
      <c r="O29" s="2"/>
      <c r="P29" s="18"/>
      <c r="Q29" s="18"/>
      <c r="R29" s="18"/>
      <c r="S29" s="19"/>
      <c r="T29" s="18"/>
      <c r="U29" s="2"/>
      <c r="V29" s="2"/>
      <c r="W29" s="18"/>
      <c r="X29" s="2"/>
      <c r="Y29" s="18"/>
      <c r="Z29" s="2"/>
      <c r="AA29" s="2"/>
      <c r="AB29" s="2"/>
      <c r="AC29" s="2"/>
    </row>
    <row r="30" ht="22" customHeight="1" spans="1:29">
      <c r="A30" s="6" t="s">
        <v>123</v>
      </c>
    </row>
    <row r="31" ht="22" customHeight="1" spans="1:29">
      <c r="A31" s="7" t="s">
        <v>39</v>
      </c>
      <c r="B31" s="7" t="s">
        <v>115</v>
      </c>
      <c r="C31" s="7" t="s">
        <v>82</v>
      </c>
      <c r="D31" s="8">
        <f>COUNT(Raw_Strongest_Baseline_Repeats!H22:H31)</f>
        <v>10</v>
      </c>
      <c r="E31" s="9">
        <f>AVERAGE(Raw_Strongest_Baseline_Repeats!F22:F31)*100</f>
        <v>99.8901093006134</v>
      </c>
      <c r="F31" s="9">
        <f>_xlfn.STDEV.S(Raw_Strongest_Baseline_Repeats!F22:F31)*100</f>
        <v>0.196880149710336</v>
      </c>
      <c r="G31" s="9">
        <f>AVERAGE(Raw_Strongest_Baseline_Repeats!G22:G31)*100</f>
        <v>72.5514388084412</v>
      </c>
      <c r="H31" s="9">
        <f>_xlfn.STDEV.S(Raw_Strongest_Baseline_Repeats!G22:G31)*100</f>
        <v>1.58981337697019</v>
      </c>
      <c r="I31" s="9">
        <f>AVERAGE(Raw_Strongest_Baseline_Repeats!H22:H31)*100</f>
        <v>71.2499994039536</v>
      </c>
      <c r="J31" s="9">
        <f>_xlfn.STDEV.S(Raw_Strongest_Baseline_Repeats!H22:H31)*100</f>
        <v>1.4853749737581</v>
      </c>
      <c r="K31" s="9" t="s">
        <v>41</v>
      </c>
      <c r="L31" s="8"/>
      <c r="M31" s="8"/>
      <c r="N31" s="8"/>
      <c r="O31" s="8"/>
      <c r="P31" s="9"/>
      <c r="Q31" s="9"/>
      <c r="R31" s="9"/>
      <c r="S31" s="10"/>
      <c r="T31" s="9"/>
      <c r="U31" s="8"/>
      <c r="V31" s="8"/>
      <c r="W31" s="9"/>
      <c r="X31" s="8"/>
      <c r="Y31" s="9"/>
      <c r="Z31" s="8"/>
      <c r="AA31" s="8"/>
      <c r="AB31" s="8" t="s">
        <v>63</v>
      </c>
      <c r="AC31" s="8" t="s">
        <v>124</v>
      </c>
    </row>
    <row r="32" ht="22" customHeight="1" spans="1:29">
      <c r="A32" s="11" t="s">
        <v>39</v>
      </c>
      <c r="B32" s="11" t="s">
        <v>117</v>
      </c>
      <c r="C32" s="11" t="s">
        <v>2</v>
      </c>
      <c r="D32" s="12">
        <f>COUNT(Raw_SRC_V16C_Repeats!H22:H31)</f>
        <v>10</v>
      </c>
      <c r="E32" s="13">
        <f>AVERAGE(Raw_SRC_V16C_Repeats!F22:F31)*100</f>
        <v>97.7564102564102</v>
      </c>
      <c r="F32" s="13">
        <f>_xlfn.STDEV.S(Raw_SRC_V16C_Repeats!F22:F31)*100</f>
        <v>1.62228404307658</v>
      </c>
      <c r="G32" s="13">
        <f>AVERAGE(Raw_SRC_V16C_Repeats!G22:G31)*100</f>
        <v>72.798353909465</v>
      </c>
      <c r="H32" s="13">
        <f>_xlfn.STDEV.S(Raw_SRC_V16C_Repeats!G22:G31)*100</f>
        <v>2.28628257841793</v>
      </c>
      <c r="I32" s="13">
        <f>AVERAGE(Raw_SRC_V16C_Repeats!H22:H31)*100</f>
        <v>72.4780701754386</v>
      </c>
      <c r="J32" s="13">
        <f>_xlfn.STDEV.S(Raw_SRC_V16C_Repeats!H22:H31)*100</f>
        <v>1.8528935461457</v>
      </c>
      <c r="K32" s="13">
        <f>I32-I31</f>
        <v>1.22807077148504</v>
      </c>
      <c r="L32" s="12"/>
      <c r="M32" s="12"/>
      <c r="N32" s="12"/>
      <c r="O32" s="12"/>
      <c r="P32" s="13"/>
      <c r="Q32" s="13"/>
      <c r="R32" s="13"/>
      <c r="S32" s="14"/>
      <c r="T32" s="13"/>
      <c r="U32" s="12"/>
      <c r="V32" s="12"/>
      <c r="W32" s="13"/>
      <c r="X32" s="12"/>
      <c r="Y32" s="13"/>
      <c r="Z32" s="12"/>
      <c r="AA32" s="12"/>
      <c r="AB32" s="12" t="s">
        <v>118</v>
      </c>
      <c r="AC32" s="12" t="s">
        <v>125</v>
      </c>
    </row>
    <row r="33" ht="22" customHeight="1" spans="1:29">
      <c r="A33" s="15" t="str">
        <f>Raw_SRC_V16C_Repeats!A22</f>
        <v>chameleon</v>
      </c>
      <c r="B33" s="15" t="str">
        <f>"SRC-v16c repeat "&amp;Raw_SRC_V16C_Repeats!B22</f>
        <v>SRC-v16c repeat 0</v>
      </c>
      <c r="C33" s="15" t="s">
        <v>2</v>
      </c>
      <c r="D33" s="15"/>
      <c r="E33" s="16"/>
      <c r="F33" s="16"/>
      <c r="G33" s="16"/>
      <c r="H33" s="16"/>
      <c r="I33" s="16"/>
      <c r="J33" s="16"/>
      <c r="K33" s="16"/>
      <c r="L33" s="15">
        <f>Raw_SRC_V16C_Repeats!B22</f>
        <v>0</v>
      </c>
      <c r="M33" s="15">
        <f>Raw_SRC_V16C_Repeats!C22</f>
        <v>0</v>
      </c>
      <c r="N33" s="15">
        <f>Raw_SRC_V16C_Repeats!D22</f>
        <v>0</v>
      </c>
      <c r="O33" s="15" t="str">
        <f>Raw_SRC_V16C_Repeats!E22</f>
        <v>fixed_geom_gcn_split_id_0</v>
      </c>
      <c r="P33" s="16">
        <f>Raw_SRC_V16C_Repeats!F22*100</f>
        <v>98.992673992674</v>
      </c>
      <c r="Q33" s="16">
        <f>Raw_SRC_V16C_Repeats!G22*100</f>
        <v>73.9368998628258</v>
      </c>
      <c r="R33" s="16">
        <f>Raw_SRC_V16C_Repeats!H22*100</f>
        <v>72.5877192982456</v>
      </c>
      <c r="S33" s="17">
        <f>Raw_SRC_V16C_Repeats!H22</f>
        <v>0.725877192982456</v>
      </c>
      <c r="T33" s="16">
        <f>Raw_SRC_V16C_Repeats!I22*100</f>
        <v>73.8820270983192</v>
      </c>
      <c r="U33" s="15">
        <f>Raw_SRC_V16C_Repeats!J22</f>
        <v>8000</v>
      </c>
      <c r="V33" s="15">
        <f>Raw_SRC_V16C_Repeats!K22</f>
        <v>96</v>
      </c>
      <c r="W33" s="16">
        <f>Raw_SRC_V16C_Repeats!L22</f>
        <v>0.95</v>
      </c>
      <c r="X33" s="15" t="str">
        <f>Raw_SRC_V16C_Repeats!M22</f>
        <v>(0.01, 0.1, 1.0)</v>
      </c>
      <c r="Y33" s="16">
        <f>Raw_SRC_V16C_Repeats!N22</f>
        <v>0.6</v>
      </c>
      <c r="Z33" s="15" t="str">
        <f>Raw_SRC_V16C_Repeats!O22</f>
        <v>full</v>
      </c>
      <c r="AA33" s="15" t="str">
        <f>Raw_SRC_V16C_Repeats!P22</f>
        <v>grid_selected_by_val_only_no_test</v>
      </c>
      <c r="AB33" s="15" t="str">
        <f>Raw_SRC_V16C_Repeats!R22</f>
        <v>src_v16c_main_table_10repeat_rows(1).csv</v>
      </c>
      <c r="AC33" s="15">
        <f>Raw_SRC_V16C_Repeats!S22</f>
        <v>2</v>
      </c>
    </row>
    <row r="34" ht="22" customHeight="1" spans="1:29">
      <c r="A34" s="15" t="str">
        <f>Raw_SRC_V16C_Repeats!A23</f>
        <v>chameleon</v>
      </c>
      <c r="B34" s="15" t="str">
        <f>"SRC-v16c repeat "&amp;Raw_SRC_V16C_Repeats!B23</f>
        <v>SRC-v16c repeat 1</v>
      </c>
      <c r="C34" s="15" t="s">
        <v>2</v>
      </c>
      <c r="D34" s="15"/>
      <c r="E34" s="16"/>
      <c r="F34" s="16"/>
      <c r="G34" s="16"/>
      <c r="H34" s="16"/>
      <c r="I34" s="16"/>
      <c r="J34" s="16"/>
      <c r="K34" s="16"/>
      <c r="L34" s="15">
        <f>Raw_SRC_V16C_Repeats!B23</f>
        <v>1</v>
      </c>
      <c r="M34" s="15">
        <f>Raw_SRC_V16C_Repeats!C23</f>
        <v>1</v>
      </c>
      <c r="N34" s="15">
        <f>Raw_SRC_V16C_Repeats!D23</f>
        <v>0</v>
      </c>
      <c r="O34" s="15" t="str">
        <f>Raw_SRC_V16C_Repeats!E23</f>
        <v>fixed_geom_gcn_split_id_1</v>
      </c>
      <c r="P34" s="16">
        <f>Raw_SRC_V16C_Repeats!F23*100</f>
        <v>98.4432234432234</v>
      </c>
      <c r="Q34" s="16">
        <f>Raw_SRC_V16C_Repeats!G23*100</f>
        <v>70.5075445816186</v>
      </c>
      <c r="R34" s="16">
        <f>Raw_SRC_V16C_Repeats!H23*100</f>
        <v>76.3157894736842</v>
      </c>
      <c r="S34" s="17">
        <f>Raw_SRC_V16C_Repeats!H23</f>
        <v>0.763157894736842</v>
      </c>
      <c r="T34" s="16">
        <f>Raw_SRC_V16C_Repeats!I23*100</f>
        <v>70.3316679354199</v>
      </c>
      <c r="U34" s="15">
        <f>Raw_SRC_V16C_Repeats!J23</f>
        <v>8000</v>
      </c>
      <c r="V34" s="15">
        <f>Raw_SRC_V16C_Repeats!K23</f>
        <v>64</v>
      </c>
      <c r="W34" s="16">
        <f>Raw_SRC_V16C_Repeats!L23</f>
        <v>0.9</v>
      </c>
      <c r="X34" s="15" t="str">
        <f>Raw_SRC_V16C_Repeats!M23</f>
        <v>(0.01, 0.1, 1.0)</v>
      </c>
      <c r="Y34" s="16">
        <f>Raw_SRC_V16C_Repeats!N23</f>
        <v>0.6</v>
      </c>
      <c r="Z34" s="15" t="str">
        <f>Raw_SRC_V16C_Repeats!O23</f>
        <v>full</v>
      </c>
      <c r="AA34" s="15" t="str">
        <f>Raw_SRC_V16C_Repeats!P23</f>
        <v>grid_selected_by_val_only_no_test</v>
      </c>
      <c r="AB34" s="15" t="str">
        <f>Raw_SRC_V16C_Repeats!R23</f>
        <v>src_v16c_main_table_10repeat_rows(1).csv</v>
      </c>
      <c r="AC34" s="15">
        <f>Raw_SRC_V16C_Repeats!S23</f>
        <v>3</v>
      </c>
    </row>
    <row r="35" ht="22" customHeight="1" spans="1:29">
      <c r="A35" s="15" t="str">
        <f>Raw_SRC_V16C_Repeats!A24</f>
        <v>chameleon</v>
      </c>
      <c r="B35" s="15" t="str">
        <f>"SRC-v16c repeat "&amp;Raw_SRC_V16C_Repeats!B24</f>
        <v>SRC-v16c repeat 2</v>
      </c>
      <c r="C35" s="15" t="s">
        <v>2</v>
      </c>
      <c r="D35" s="15"/>
      <c r="E35" s="16"/>
      <c r="F35" s="16"/>
      <c r="G35" s="16"/>
      <c r="H35" s="16"/>
      <c r="I35" s="16"/>
      <c r="J35" s="16"/>
      <c r="K35" s="16"/>
      <c r="L35" s="15">
        <f>Raw_SRC_V16C_Repeats!B24</f>
        <v>2</v>
      </c>
      <c r="M35" s="15">
        <f>Raw_SRC_V16C_Repeats!C24</f>
        <v>2</v>
      </c>
      <c r="N35" s="15">
        <f>Raw_SRC_V16C_Repeats!D24</f>
        <v>0</v>
      </c>
      <c r="O35" s="15" t="str">
        <f>Raw_SRC_V16C_Repeats!E24</f>
        <v>fixed_geom_gcn_split_id_2</v>
      </c>
      <c r="P35" s="16">
        <f>Raw_SRC_V16C_Repeats!F24*100</f>
        <v>99.1758241758242</v>
      </c>
      <c r="Q35" s="16">
        <f>Raw_SRC_V16C_Repeats!G24*100</f>
        <v>73.9368998628258</v>
      </c>
      <c r="R35" s="16">
        <f>Raw_SRC_V16C_Repeats!H24*100</f>
        <v>70.3947368421053</v>
      </c>
      <c r="S35" s="17">
        <f>Raw_SRC_V16C_Repeats!H24</f>
        <v>0.703947368421053</v>
      </c>
      <c r="T35" s="16">
        <f>Raw_SRC_V16C_Repeats!I24*100</f>
        <v>74.7503907942309</v>
      </c>
      <c r="U35" s="15">
        <f>Raw_SRC_V16C_Repeats!J24</f>
        <v>8000</v>
      </c>
      <c r="V35" s="15">
        <f>Raw_SRC_V16C_Repeats!K24</f>
        <v>96</v>
      </c>
      <c r="W35" s="16">
        <f>Raw_SRC_V16C_Repeats!L24</f>
        <v>0.99</v>
      </c>
      <c r="X35" s="15" t="str">
        <f>Raw_SRC_V16C_Repeats!M24</f>
        <v>(0.01, 0.1, 1.0)</v>
      </c>
      <c r="Y35" s="16">
        <f>Raw_SRC_V16C_Repeats!N24</f>
        <v>0.5</v>
      </c>
      <c r="Z35" s="15" t="str">
        <f>Raw_SRC_V16C_Repeats!O24</f>
        <v>full</v>
      </c>
      <c r="AA35" s="15" t="str">
        <f>Raw_SRC_V16C_Repeats!P24</f>
        <v>grid_selected_by_val_only_no_test</v>
      </c>
      <c r="AB35" s="15" t="str">
        <f>Raw_SRC_V16C_Repeats!R24</f>
        <v>src_v16c_main_table_10repeat_rows(1).csv</v>
      </c>
      <c r="AC35" s="15">
        <f>Raw_SRC_V16C_Repeats!S24</f>
        <v>4</v>
      </c>
    </row>
    <row r="36" ht="22" customHeight="1" spans="1:29">
      <c r="A36" s="15" t="str">
        <f>Raw_SRC_V16C_Repeats!A25</f>
        <v>chameleon</v>
      </c>
      <c r="B36" s="15" t="str">
        <f>"SRC-v16c repeat "&amp;Raw_SRC_V16C_Repeats!B25</f>
        <v>SRC-v16c repeat 3</v>
      </c>
      <c r="C36" s="15" t="s">
        <v>2</v>
      </c>
      <c r="D36" s="15"/>
      <c r="E36" s="16"/>
      <c r="F36" s="16"/>
      <c r="G36" s="16"/>
      <c r="H36" s="16"/>
      <c r="I36" s="16"/>
      <c r="J36" s="16"/>
      <c r="K36" s="16"/>
      <c r="L36" s="15">
        <f>Raw_SRC_V16C_Repeats!B25</f>
        <v>3</v>
      </c>
      <c r="M36" s="15">
        <f>Raw_SRC_V16C_Repeats!C25</f>
        <v>3</v>
      </c>
      <c r="N36" s="15">
        <f>Raw_SRC_V16C_Repeats!D25</f>
        <v>0</v>
      </c>
      <c r="O36" s="15" t="str">
        <f>Raw_SRC_V16C_Repeats!E25</f>
        <v>fixed_geom_gcn_split_id_3</v>
      </c>
      <c r="P36" s="16">
        <f>Raw_SRC_V16C_Repeats!F25*100</f>
        <v>96.3369963369963</v>
      </c>
      <c r="Q36" s="16">
        <f>Raw_SRC_V16C_Repeats!G25*100</f>
        <v>75.0342935528121</v>
      </c>
      <c r="R36" s="16">
        <f>Raw_SRC_V16C_Repeats!H25*100</f>
        <v>71.0526315789474</v>
      </c>
      <c r="S36" s="17">
        <f>Raw_SRC_V16C_Repeats!H25</f>
        <v>0.710526315789474</v>
      </c>
      <c r="T36" s="16">
        <f>Raw_SRC_V16C_Repeats!I25*100</f>
        <v>75.1133565221641</v>
      </c>
      <c r="U36" s="15">
        <f>Raw_SRC_V16C_Repeats!J25</f>
        <v>4000</v>
      </c>
      <c r="V36" s="15">
        <f>Raw_SRC_V16C_Repeats!K25</f>
        <v>64</v>
      </c>
      <c r="W36" s="16">
        <f>Raw_SRC_V16C_Repeats!L25</f>
        <v>0.95</v>
      </c>
      <c r="X36" s="15" t="str">
        <f>Raw_SRC_V16C_Repeats!M25</f>
        <v>(0.01, 0.1, 1.0)</v>
      </c>
      <c r="Y36" s="16">
        <f>Raw_SRC_V16C_Repeats!N25</f>
        <v>0.6</v>
      </c>
      <c r="Z36" s="15" t="str">
        <f>Raw_SRC_V16C_Repeats!O25</f>
        <v>full</v>
      </c>
      <c r="AA36" s="15" t="str">
        <f>Raw_SRC_V16C_Repeats!P25</f>
        <v>grid_selected_by_val_only_no_test</v>
      </c>
      <c r="AB36" s="15" t="str">
        <f>Raw_SRC_V16C_Repeats!R25</f>
        <v>src_v16c_main_table_10repeat_rows(1).csv</v>
      </c>
      <c r="AC36" s="15">
        <f>Raw_SRC_V16C_Repeats!S25</f>
        <v>5</v>
      </c>
    </row>
    <row r="37" ht="22" customHeight="1" spans="1:29">
      <c r="A37" s="15" t="str">
        <f>Raw_SRC_V16C_Repeats!A26</f>
        <v>chameleon</v>
      </c>
      <c r="B37" s="15" t="str">
        <f>"SRC-v16c repeat "&amp;Raw_SRC_V16C_Repeats!B26</f>
        <v>SRC-v16c repeat 4</v>
      </c>
      <c r="C37" s="15" t="s">
        <v>2</v>
      </c>
      <c r="D37" s="15"/>
      <c r="E37" s="16"/>
      <c r="F37" s="16"/>
      <c r="G37" s="16"/>
      <c r="H37" s="16"/>
      <c r="I37" s="16"/>
      <c r="J37" s="16"/>
      <c r="K37" s="16"/>
      <c r="L37" s="15">
        <f>Raw_SRC_V16C_Repeats!B26</f>
        <v>4</v>
      </c>
      <c r="M37" s="15">
        <f>Raw_SRC_V16C_Repeats!C26</f>
        <v>4</v>
      </c>
      <c r="N37" s="15">
        <f>Raw_SRC_V16C_Repeats!D26</f>
        <v>0</v>
      </c>
      <c r="O37" s="15" t="str">
        <f>Raw_SRC_V16C_Repeats!E26</f>
        <v>fixed_geom_gcn_split_id_4</v>
      </c>
      <c r="P37" s="16">
        <f>Raw_SRC_V16C_Repeats!F26*100</f>
        <v>98.0769230769231</v>
      </c>
      <c r="Q37" s="16">
        <f>Raw_SRC_V16C_Repeats!G26*100</f>
        <v>75.1714677640604</v>
      </c>
      <c r="R37" s="16">
        <f>Raw_SRC_V16C_Repeats!H26*100</f>
        <v>74.3421052631579</v>
      </c>
      <c r="S37" s="17">
        <f>Raw_SRC_V16C_Repeats!H26</f>
        <v>0.743421052631579</v>
      </c>
      <c r="T37" s="16">
        <f>Raw_SRC_V16C_Repeats!I26*100</f>
        <v>75.4423071605447</v>
      </c>
      <c r="U37" s="15">
        <f>Raw_SRC_V16C_Repeats!J26</f>
        <v>6000</v>
      </c>
      <c r="V37" s="15">
        <f>Raw_SRC_V16C_Repeats!K26</f>
        <v>48</v>
      </c>
      <c r="W37" s="16">
        <f>Raw_SRC_V16C_Repeats!L26</f>
        <v>0.9</v>
      </c>
      <c r="X37" s="15" t="str">
        <f>Raw_SRC_V16C_Repeats!M26</f>
        <v>(0.01, 0.1, 1.0)</v>
      </c>
      <c r="Y37" s="16">
        <f>Raw_SRC_V16C_Repeats!N26</f>
        <v>0.5</v>
      </c>
      <c r="Z37" s="15" t="str">
        <f>Raw_SRC_V16C_Repeats!O26</f>
        <v>full</v>
      </c>
      <c r="AA37" s="15" t="str">
        <f>Raw_SRC_V16C_Repeats!P26</f>
        <v>grid_selected_by_val_only_no_test</v>
      </c>
      <c r="AB37" s="15" t="str">
        <f>Raw_SRC_V16C_Repeats!R26</f>
        <v>src_v16c_main_table_10repeat_rows(1).csv</v>
      </c>
      <c r="AC37" s="15">
        <f>Raw_SRC_V16C_Repeats!S26</f>
        <v>6</v>
      </c>
    </row>
    <row r="38" ht="22" customHeight="1" spans="1:29">
      <c r="A38" s="15" t="str">
        <f>Raw_SRC_V16C_Repeats!A27</f>
        <v>chameleon</v>
      </c>
      <c r="B38" s="15" t="str">
        <f>"SRC-v16c repeat "&amp;Raw_SRC_V16C_Repeats!B27</f>
        <v>SRC-v16c repeat 5</v>
      </c>
      <c r="C38" s="15" t="s">
        <v>2</v>
      </c>
      <c r="D38" s="15"/>
      <c r="E38" s="16"/>
      <c r="F38" s="16"/>
      <c r="G38" s="16"/>
      <c r="H38" s="16"/>
      <c r="I38" s="16"/>
      <c r="J38" s="16"/>
      <c r="K38" s="16"/>
      <c r="L38" s="15">
        <f>Raw_SRC_V16C_Repeats!B27</f>
        <v>5</v>
      </c>
      <c r="M38" s="15">
        <f>Raw_SRC_V16C_Repeats!C27</f>
        <v>5</v>
      </c>
      <c r="N38" s="15">
        <f>Raw_SRC_V16C_Repeats!D27</f>
        <v>0</v>
      </c>
      <c r="O38" s="15" t="str">
        <f>Raw_SRC_V16C_Repeats!E27</f>
        <v>fixed_geom_gcn_split_id_5</v>
      </c>
      <c r="P38" s="16">
        <f>Raw_SRC_V16C_Repeats!F27*100</f>
        <v>94.5054945054945</v>
      </c>
      <c r="Q38" s="16">
        <f>Raw_SRC_V16C_Repeats!G27*100</f>
        <v>73.2510288065844</v>
      </c>
      <c r="R38" s="16">
        <f>Raw_SRC_V16C_Repeats!H27*100</f>
        <v>73.4649122807018</v>
      </c>
      <c r="S38" s="17">
        <f>Raw_SRC_V16C_Repeats!H27</f>
        <v>0.734649122807018</v>
      </c>
      <c r="T38" s="16">
        <f>Raw_SRC_V16C_Repeats!I27*100</f>
        <v>73.3804210544653</v>
      </c>
      <c r="U38" s="15">
        <f>Raw_SRC_V16C_Repeats!J27</f>
        <v>5000</v>
      </c>
      <c r="V38" s="15">
        <f>Raw_SRC_V16C_Repeats!K27</f>
        <v>64</v>
      </c>
      <c r="W38" s="16">
        <f>Raw_SRC_V16C_Repeats!L27</f>
        <v>0.9</v>
      </c>
      <c r="X38" s="15" t="str">
        <f>Raw_SRC_V16C_Repeats!M27</f>
        <v>(0.01, 0.1, 1.0)</v>
      </c>
      <c r="Y38" s="16">
        <f>Raw_SRC_V16C_Repeats!N27</f>
        <v>0.8</v>
      </c>
      <c r="Z38" s="15" t="str">
        <f>Raw_SRC_V16C_Repeats!O27</f>
        <v>full</v>
      </c>
      <c r="AA38" s="15" t="str">
        <f>Raw_SRC_V16C_Repeats!P27</f>
        <v>grid_selected_by_val_only_no_test</v>
      </c>
      <c r="AB38" s="15" t="str">
        <f>Raw_SRC_V16C_Repeats!R27</f>
        <v>src_v16c_main_table_10repeat_rows(1).csv</v>
      </c>
      <c r="AC38" s="15">
        <f>Raw_SRC_V16C_Repeats!S27</f>
        <v>7</v>
      </c>
    </row>
    <row r="39" ht="22" customHeight="1" spans="1:29">
      <c r="A39" s="15" t="str">
        <f>Raw_SRC_V16C_Repeats!A28</f>
        <v>chameleon</v>
      </c>
      <c r="B39" s="15" t="str">
        <f>"SRC-v16c repeat "&amp;Raw_SRC_V16C_Repeats!B28</f>
        <v>SRC-v16c repeat 6</v>
      </c>
      <c r="C39" s="15" t="s">
        <v>2</v>
      </c>
      <c r="D39" s="15"/>
      <c r="E39" s="16"/>
      <c r="F39" s="16"/>
      <c r="G39" s="16"/>
      <c r="H39" s="16"/>
      <c r="I39" s="16"/>
      <c r="J39" s="16"/>
      <c r="K39" s="16"/>
      <c r="L39" s="15">
        <f>Raw_SRC_V16C_Repeats!B28</f>
        <v>6</v>
      </c>
      <c r="M39" s="15">
        <f>Raw_SRC_V16C_Repeats!C28</f>
        <v>6</v>
      </c>
      <c r="N39" s="15">
        <f>Raw_SRC_V16C_Repeats!D28</f>
        <v>0</v>
      </c>
      <c r="O39" s="15" t="str">
        <f>Raw_SRC_V16C_Repeats!E28</f>
        <v>fixed_geom_gcn_split_id_6</v>
      </c>
      <c r="P39" s="16">
        <f>Raw_SRC_V16C_Repeats!F28*100</f>
        <v>96.0622710622711</v>
      </c>
      <c r="Q39" s="16">
        <f>Raw_SRC_V16C_Repeats!G28*100</f>
        <v>71.0562414266118</v>
      </c>
      <c r="R39" s="16">
        <f>Raw_SRC_V16C_Repeats!H28*100</f>
        <v>70.6140350877193</v>
      </c>
      <c r="S39" s="17">
        <f>Raw_SRC_V16C_Repeats!H28</f>
        <v>0.706140350877193</v>
      </c>
      <c r="T39" s="16">
        <f>Raw_SRC_V16C_Repeats!I28*100</f>
        <v>70.9207662937387</v>
      </c>
      <c r="U39" s="15">
        <f>Raw_SRC_V16C_Repeats!J28</f>
        <v>8000</v>
      </c>
      <c r="V39" s="15">
        <f>Raw_SRC_V16C_Repeats!K28</f>
        <v>96</v>
      </c>
      <c r="W39" s="16">
        <f>Raw_SRC_V16C_Repeats!L28</f>
        <v>0.95</v>
      </c>
      <c r="X39" s="15" t="str">
        <f>Raw_SRC_V16C_Repeats!M28</f>
        <v>(0.1, 1.0, 10.0)</v>
      </c>
      <c r="Y39" s="16">
        <f>Raw_SRC_V16C_Repeats!N28</f>
        <v>0.7</v>
      </c>
      <c r="Z39" s="15" t="str">
        <f>Raw_SRC_V16C_Repeats!O28</f>
        <v>full</v>
      </c>
      <c r="AA39" s="15" t="str">
        <f>Raw_SRC_V16C_Repeats!P28</f>
        <v>grid_selected_by_val_only_no_test</v>
      </c>
      <c r="AB39" s="15" t="str">
        <f>Raw_SRC_V16C_Repeats!R28</f>
        <v>src_v16c_main_table_10repeat_rows(1).csv</v>
      </c>
      <c r="AC39" s="15">
        <f>Raw_SRC_V16C_Repeats!S28</f>
        <v>8</v>
      </c>
    </row>
    <row r="40" ht="22" customHeight="1" spans="1:29">
      <c r="A40" s="15" t="str">
        <f>Raw_SRC_V16C_Repeats!A29</f>
        <v>chameleon</v>
      </c>
      <c r="B40" s="15" t="str">
        <f>"SRC-v16c repeat "&amp;Raw_SRC_V16C_Repeats!B29</f>
        <v>SRC-v16c repeat 7</v>
      </c>
      <c r="C40" s="15" t="s">
        <v>2</v>
      </c>
      <c r="D40" s="15"/>
      <c r="E40" s="16"/>
      <c r="F40" s="16"/>
      <c r="G40" s="16"/>
      <c r="H40" s="16"/>
      <c r="I40" s="16"/>
      <c r="J40" s="16"/>
      <c r="K40" s="16"/>
      <c r="L40" s="15">
        <f>Raw_SRC_V16C_Repeats!B29</f>
        <v>7</v>
      </c>
      <c r="M40" s="15">
        <f>Raw_SRC_V16C_Repeats!C29</f>
        <v>7</v>
      </c>
      <c r="N40" s="15">
        <f>Raw_SRC_V16C_Repeats!D29</f>
        <v>0</v>
      </c>
      <c r="O40" s="15" t="str">
        <f>Raw_SRC_V16C_Repeats!E29</f>
        <v>fixed_geom_gcn_split_id_7</v>
      </c>
      <c r="P40" s="16">
        <f>Raw_SRC_V16C_Repeats!F29*100</f>
        <v>99.5421245421245</v>
      </c>
      <c r="Q40" s="16">
        <f>Raw_SRC_V16C_Repeats!G29*100</f>
        <v>67.9012345679012</v>
      </c>
      <c r="R40" s="16">
        <f>Raw_SRC_V16C_Repeats!H29*100</f>
        <v>71.2719298245614</v>
      </c>
      <c r="S40" s="17">
        <f>Raw_SRC_V16C_Repeats!H29</f>
        <v>0.712719298245614</v>
      </c>
      <c r="T40" s="16">
        <f>Raw_SRC_V16C_Repeats!I29*100</f>
        <v>67.9908578977675</v>
      </c>
      <c r="U40" s="15">
        <f>Raw_SRC_V16C_Repeats!J29</f>
        <v>8000</v>
      </c>
      <c r="V40" s="15">
        <f>Raw_SRC_V16C_Repeats!K29</f>
        <v>96</v>
      </c>
      <c r="W40" s="16">
        <f>Raw_SRC_V16C_Repeats!L29</f>
        <v>0.99</v>
      </c>
      <c r="X40" s="15" t="str">
        <f>Raw_SRC_V16C_Repeats!M29</f>
        <v>(0.01, 0.1, 1.0)</v>
      </c>
      <c r="Y40" s="16">
        <f>Raw_SRC_V16C_Repeats!N29</f>
        <v>0.6</v>
      </c>
      <c r="Z40" s="15" t="str">
        <f>Raw_SRC_V16C_Repeats!O29</f>
        <v>full</v>
      </c>
      <c r="AA40" s="15" t="str">
        <f>Raw_SRC_V16C_Repeats!P29</f>
        <v>grid_selected_by_val_only_no_test</v>
      </c>
      <c r="AB40" s="15" t="str">
        <f>Raw_SRC_V16C_Repeats!R29</f>
        <v>src_v16c_main_table_10repeat_rows(1).csv</v>
      </c>
      <c r="AC40" s="15">
        <f>Raw_SRC_V16C_Repeats!S29</f>
        <v>9</v>
      </c>
    </row>
    <row r="41" ht="22" customHeight="1" spans="1:29">
      <c r="A41" s="15" t="str">
        <f>Raw_SRC_V16C_Repeats!A30</f>
        <v>chameleon</v>
      </c>
      <c r="B41" s="15" t="str">
        <f>"SRC-v16c repeat "&amp;Raw_SRC_V16C_Repeats!B30</f>
        <v>SRC-v16c repeat 8</v>
      </c>
      <c r="C41" s="15" t="s">
        <v>2</v>
      </c>
      <c r="D41" s="15"/>
      <c r="E41" s="16"/>
      <c r="F41" s="16"/>
      <c r="G41" s="16"/>
      <c r="H41" s="16"/>
      <c r="I41" s="16"/>
      <c r="J41" s="16"/>
      <c r="K41" s="16"/>
      <c r="L41" s="15">
        <f>Raw_SRC_V16C_Repeats!B30</f>
        <v>8</v>
      </c>
      <c r="M41" s="15">
        <f>Raw_SRC_V16C_Repeats!C30</f>
        <v>8</v>
      </c>
      <c r="N41" s="15">
        <f>Raw_SRC_V16C_Repeats!D30</f>
        <v>0</v>
      </c>
      <c r="O41" s="15" t="str">
        <f>Raw_SRC_V16C_Repeats!E30</f>
        <v>fixed_geom_gcn_split_id_8</v>
      </c>
      <c r="P41" s="16">
        <f>Raw_SRC_V16C_Repeats!F30*100</f>
        <v>98.7179487179487</v>
      </c>
      <c r="Q41" s="16">
        <f>Raw_SRC_V16C_Repeats!G30*100</f>
        <v>73.3882030178326</v>
      </c>
      <c r="R41" s="16">
        <f>Raw_SRC_V16C_Repeats!H30*100</f>
        <v>71.9298245614035</v>
      </c>
      <c r="S41" s="17">
        <f>Raw_SRC_V16C_Repeats!H30</f>
        <v>0.719298245614035</v>
      </c>
      <c r="T41" s="16">
        <f>Raw_SRC_V16C_Repeats!I30*100</f>
        <v>73.4577939555686</v>
      </c>
      <c r="U41" s="15">
        <f>Raw_SRC_V16C_Repeats!J30</f>
        <v>8000</v>
      </c>
      <c r="V41" s="15">
        <f>Raw_SRC_V16C_Repeats!K30</f>
        <v>64</v>
      </c>
      <c r="W41" s="16">
        <f>Raw_SRC_V16C_Repeats!L30</f>
        <v>0.9</v>
      </c>
      <c r="X41" s="15" t="str">
        <f>Raw_SRC_V16C_Repeats!M30</f>
        <v>(0.01, 0.1, 1.0)</v>
      </c>
      <c r="Y41" s="16">
        <f>Raw_SRC_V16C_Repeats!N30</f>
        <v>0.3</v>
      </c>
      <c r="Z41" s="15" t="str">
        <f>Raw_SRC_V16C_Repeats!O30</f>
        <v>full</v>
      </c>
      <c r="AA41" s="15" t="str">
        <f>Raw_SRC_V16C_Repeats!P30</f>
        <v>grid_selected_by_val_only_no_test</v>
      </c>
      <c r="AB41" s="15" t="str">
        <f>Raw_SRC_V16C_Repeats!R30</f>
        <v>src_v16c_main_table_10repeat_rows(1).csv</v>
      </c>
      <c r="AC41" s="15">
        <f>Raw_SRC_V16C_Repeats!S30</f>
        <v>10</v>
      </c>
    </row>
    <row r="42" ht="22" customHeight="1" spans="1:29">
      <c r="A42" s="15" t="str">
        <f>Raw_SRC_V16C_Repeats!A31</f>
        <v>chameleon</v>
      </c>
      <c r="B42" s="15" t="str">
        <f>"SRC-v16c repeat "&amp;Raw_SRC_V16C_Repeats!B31</f>
        <v>SRC-v16c repeat 9</v>
      </c>
      <c r="C42" s="15" t="s">
        <v>2</v>
      </c>
      <c r="D42" s="15"/>
      <c r="E42" s="16"/>
      <c r="F42" s="16"/>
      <c r="G42" s="16"/>
      <c r="H42" s="16"/>
      <c r="I42" s="16"/>
      <c r="J42" s="16"/>
      <c r="K42" s="16"/>
      <c r="L42" s="15">
        <f>Raw_SRC_V16C_Repeats!B31</f>
        <v>9</v>
      </c>
      <c r="M42" s="15">
        <f>Raw_SRC_V16C_Repeats!C31</f>
        <v>9</v>
      </c>
      <c r="N42" s="15">
        <f>Raw_SRC_V16C_Repeats!D31</f>
        <v>0</v>
      </c>
      <c r="O42" s="15" t="str">
        <f>Raw_SRC_V16C_Repeats!E31</f>
        <v>fixed_geom_gcn_split_id_9</v>
      </c>
      <c r="P42" s="16">
        <f>Raw_SRC_V16C_Repeats!F31*100</f>
        <v>97.7106227106227</v>
      </c>
      <c r="Q42" s="16">
        <f>Raw_SRC_V16C_Repeats!G31*100</f>
        <v>73.7997256515775</v>
      </c>
      <c r="R42" s="16">
        <f>Raw_SRC_V16C_Repeats!H31*100</f>
        <v>72.8070175438597</v>
      </c>
      <c r="S42" s="17">
        <f>Raw_SRC_V16C_Repeats!H31</f>
        <v>0.728070175438597</v>
      </c>
      <c r="T42" s="16">
        <f>Raw_SRC_V16C_Repeats!I31*100</f>
        <v>74.0091050777255</v>
      </c>
      <c r="U42" s="15">
        <f>Raw_SRC_V16C_Repeats!J31</f>
        <v>8000</v>
      </c>
      <c r="V42" s="15">
        <f>Raw_SRC_V16C_Repeats!K31</f>
        <v>32</v>
      </c>
      <c r="W42" s="16">
        <f>Raw_SRC_V16C_Repeats!L31</f>
        <v>0.9</v>
      </c>
      <c r="X42" s="15" t="str">
        <f>Raw_SRC_V16C_Repeats!M31</f>
        <v>(0.01, 0.1, 1.0)</v>
      </c>
      <c r="Y42" s="16">
        <f>Raw_SRC_V16C_Repeats!N31</f>
        <v>0.6</v>
      </c>
      <c r="Z42" s="15" t="str">
        <f>Raw_SRC_V16C_Repeats!O31</f>
        <v>full</v>
      </c>
      <c r="AA42" s="15" t="str">
        <f>Raw_SRC_V16C_Repeats!P31</f>
        <v>grid_selected_by_val_only_no_test</v>
      </c>
      <c r="AB42" s="15" t="str">
        <f>Raw_SRC_V16C_Repeats!R31</f>
        <v>src_v16c_main_table_10repeat_rows(1).csv</v>
      </c>
      <c r="AC42" s="15">
        <f>Raw_SRC_V16C_Repeats!S31</f>
        <v>11</v>
      </c>
    </row>
    <row r="43" ht="22" customHeight="1" spans="1:29">
      <c r="A43" s="2"/>
      <c r="B43" s="2"/>
      <c r="C43" s="2"/>
      <c r="D43" s="2"/>
      <c r="E43" s="18"/>
      <c r="F43" s="18"/>
      <c r="G43" s="18"/>
      <c r="H43" s="18"/>
      <c r="I43" s="18"/>
      <c r="J43" s="18"/>
      <c r="K43" s="18"/>
      <c r="L43" s="2"/>
      <c r="M43" s="2"/>
      <c r="N43" s="2"/>
      <c r="O43" s="2"/>
      <c r="P43" s="18"/>
      <c r="Q43" s="18"/>
      <c r="R43" s="18"/>
      <c r="S43" s="19"/>
      <c r="T43" s="18"/>
      <c r="U43" s="2"/>
      <c r="V43" s="2"/>
      <c r="W43" s="18"/>
      <c r="X43" s="2"/>
      <c r="Y43" s="18"/>
      <c r="Z43" s="2"/>
      <c r="AA43" s="2"/>
      <c r="AB43" s="2"/>
      <c r="AC43" s="2"/>
    </row>
    <row r="44" ht="22" customHeight="1" spans="1:29">
      <c r="A44" s="6" t="s">
        <v>126</v>
      </c>
    </row>
    <row r="45" ht="22" customHeight="1" spans="1:29">
      <c r="A45" s="7" t="s">
        <v>53</v>
      </c>
      <c r="B45" s="7" t="s">
        <v>115</v>
      </c>
      <c r="C45" s="7" t="s">
        <v>75</v>
      </c>
      <c r="D45" s="8">
        <f>COUNT(Raw_Strongest_Baseline_Repeats!H32:H41)</f>
        <v>10</v>
      </c>
      <c r="E45" s="9">
        <f>AVERAGE(Raw_Strongest_Baseline_Repeats!F32:F41)*100</f>
        <v>98.7356323003769</v>
      </c>
      <c r="F45" s="9">
        <f>_xlfn.STDEV.S(Raw_Strongest_Baseline_Repeats!F32:F41)*100</f>
        <v>1.91187290886751</v>
      </c>
      <c r="G45" s="9">
        <f>AVERAGE(Raw_Strongest_Baseline_Repeats!G32:G41)*100</f>
        <v>74.7457629442215</v>
      </c>
      <c r="H45" s="9">
        <f>_xlfn.STDEV.S(Raw_Strongest_Baseline_Repeats!G32:G41)*100</f>
        <v>6.56194698368021</v>
      </c>
      <c r="I45" s="9">
        <f>AVERAGE(Raw_Strongest_Baseline_Repeats!H32:H41)*100</f>
        <v>70.2702695131302</v>
      </c>
      <c r="J45" s="9">
        <f>_xlfn.STDEV.S(Raw_Strongest_Baseline_Repeats!H32:H41)*100</f>
        <v>5.69779827360999</v>
      </c>
      <c r="K45" s="9" t="s">
        <v>41</v>
      </c>
      <c r="L45" s="8"/>
      <c r="M45" s="8"/>
      <c r="N45" s="8"/>
      <c r="O45" s="8"/>
      <c r="P45" s="9"/>
      <c r="Q45" s="9"/>
      <c r="R45" s="9"/>
      <c r="S45" s="10"/>
      <c r="T45" s="9"/>
      <c r="U45" s="8"/>
      <c r="V45" s="8"/>
      <c r="W45" s="9"/>
      <c r="X45" s="8"/>
      <c r="Y45" s="9"/>
      <c r="Z45" s="8"/>
      <c r="AA45" s="8"/>
      <c r="AB45" s="8" t="s">
        <v>63</v>
      </c>
      <c r="AC45" s="8" t="s">
        <v>127</v>
      </c>
    </row>
    <row r="46" ht="22" customHeight="1" spans="1:29">
      <c r="A46" s="11" t="s">
        <v>53</v>
      </c>
      <c r="B46" s="11" t="s">
        <v>117</v>
      </c>
      <c r="C46" s="11" t="s">
        <v>2</v>
      </c>
      <c r="D46" s="12">
        <f>COUNT(Raw_SRC_V16C_Repeats!H32:H41)</f>
        <v>10</v>
      </c>
      <c r="E46" s="13">
        <f>AVERAGE(Raw_SRC_V16C_Repeats!F32:F41)*100</f>
        <v>99.8850574712644</v>
      </c>
      <c r="F46" s="13">
        <f>_xlfn.STDEV.S(Raw_SRC_V16C_Repeats!F32:F41)*100</f>
        <v>0.363480190823951</v>
      </c>
      <c r="G46" s="13">
        <f>AVERAGE(Raw_SRC_V16C_Repeats!G32:G41)*100</f>
        <v>80.5084745762712</v>
      </c>
      <c r="H46" s="13">
        <f>_xlfn.STDEV.S(Raw_SRC_V16C_Repeats!G32:G41)*100</f>
        <v>3.22083453417835</v>
      </c>
      <c r="I46" s="13">
        <f>AVERAGE(Raw_SRC_V16C_Repeats!H32:H41)*100</f>
        <v>75.4054054054054</v>
      </c>
      <c r="J46" s="13">
        <f>_xlfn.STDEV.S(Raw_SRC_V16C_Repeats!H32:H41)*100</f>
        <v>7.25770596797219</v>
      </c>
      <c r="K46" s="13">
        <f>I46-I45</f>
        <v>5.13513589227522</v>
      </c>
      <c r="L46" s="12"/>
      <c r="M46" s="12"/>
      <c r="N46" s="12"/>
      <c r="O46" s="12"/>
      <c r="P46" s="13"/>
      <c r="Q46" s="13"/>
      <c r="R46" s="13"/>
      <c r="S46" s="14"/>
      <c r="T46" s="13"/>
      <c r="U46" s="12"/>
      <c r="V46" s="12"/>
      <c r="W46" s="13"/>
      <c r="X46" s="12"/>
      <c r="Y46" s="13"/>
      <c r="Z46" s="12"/>
      <c r="AA46" s="12"/>
      <c r="AB46" s="12" t="s">
        <v>118</v>
      </c>
      <c r="AC46" s="12" t="s">
        <v>128</v>
      </c>
    </row>
    <row r="47" ht="22" customHeight="1" spans="1:29">
      <c r="A47" s="15" t="str">
        <f>Raw_SRC_V16C_Repeats!A32</f>
        <v>cornell</v>
      </c>
      <c r="B47" s="15" t="str">
        <f>"SRC-v16c repeat "&amp;Raw_SRC_V16C_Repeats!B32</f>
        <v>SRC-v16c repeat 0</v>
      </c>
      <c r="C47" s="15" t="s">
        <v>2</v>
      </c>
      <c r="D47" s="15"/>
      <c r="E47" s="16"/>
      <c r="F47" s="16"/>
      <c r="G47" s="16"/>
      <c r="H47" s="16"/>
      <c r="I47" s="16"/>
      <c r="J47" s="16"/>
      <c r="K47" s="16"/>
      <c r="L47" s="15">
        <f>Raw_SRC_V16C_Repeats!B32</f>
        <v>0</v>
      </c>
      <c r="M47" s="15">
        <f>Raw_SRC_V16C_Repeats!C32</f>
        <v>20260419</v>
      </c>
      <c r="N47" s="15">
        <f>Raw_SRC_V16C_Repeats!D32</f>
        <v>0</v>
      </c>
      <c r="O47" s="15" t="str">
        <f>Raw_SRC_V16C_Repeats!E32</f>
        <v>random_stratified_matching_fixed_split0_class_counts</v>
      </c>
      <c r="P47" s="16">
        <f>Raw_SRC_V16C_Repeats!F32*100</f>
        <v>100</v>
      </c>
      <c r="Q47" s="16">
        <f>Raw_SRC_V16C_Repeats!G32*100</f>
        <v>77.9661016949153</v>
      </c>
      <c r="R47" s="16">
        <f>Raw_SRC_V16C_Repeats!H32*100</f>
        <v>81.0810810810811</v>
      </c>
      <c r="S47" s="17">
        <f>Raw_SRC_V16C_Repeats!H32</f>
        <v>0.810810810810811</v>
      </c>
      <c r="T47" s="16">
        <f>Raw_SRC_V16C_Repeats!I32*100</f>
        <v>58.35672392124</v>
      </c>
      <c r="U47" s="15">
        <f>Raw_SRC_V16C_Repeats!J32</f>
        <v>4000</v>
      </c>
      <c r="V47" s="15">
        <f>Raw_SRC_V16C_Repeats!K32</f>
        <v>32</v>
      </c>
      <c r="W47" s="16">
        <f>Raw_SRC_V16C_Repeats!L32</f>
        <v>0.9</v>
      </c>
      <c r="X47" s="15" t="str">
        <f>Raw_SRC_V16C_Repeats!M32</f>
        <v>(0.01, 0.1, 1.0)</v>
      </c>
      <c r="Y47" s="16">
        <f>Raw_SRC_V16C_Repeats!N32</f>
        <v>0.2</v>
      </c>
      <c r="Z47" s="15" t="str">
        <f>Raw_SRC_V16C_Repeats!O32</f>
        <v>full</v>
      </c>
      <c r="AA47" s="15" t="str">
        <f>Raw_SRC_V16C_Repeats!P32</f>
        <v>grid_selected_by_val_only_no_test</v>
      </c>
      <c r="AB47" s="15" t="str">
        <f>Raw_SRC_V16C_Repeats!R32</f>
        <v>src_v16c_final_6datasets_repeat_rows.csv</v>
      </c>
      <c r="AC47" s="15">
        <f>Raw_SRC_V16C_Repeats!S32</f>
        <v>12</v>
      </c>
    </row>
    <row r="48" ht="22" customHeight="1" spans="1:29">
      <c r="A48" s="15" t="str">
        <f>Raw_SRC_V16C_Repeats!A33</f>
        <v>cornell</v>
      </c>
      <c r="B48" s="15" t="str">
        <f>"SRC-v16c repeat "&amp;Raw_SRC_V16C_Repeats!B33</f>
        <v>SRC-v16c repeat 1</v>
      </c>
      <c r="C48" s="15" t="s">
        <v>2</v>
      </c>
      <c r="D48" s="15"/>
      <c r="E48" s="16"/>
      <c r="F48" s="16"/>
      <c r="G48" s="16"/>
      <c r="H48" s="16"/>
      <c r="I48" s="16"/>
      <c r="J48" s="16"/>
      <c r="K48" s="16"/>
      <c r="L48" s="15">
        <f>Raw_SRC_V16C_Repeats!B33</f>
        <v>1</v>
      </c>
      <c r="M48" s="15">
        <f>Raw_SRC_V16C_Repeats!C33</f>
        <v>20260420</v>
      </c>
      <c r="N48" s="15">
        <f>Raw_SRC_V16C_Repeats!D33</f>
        <v>0</v>
      </c>
      <c r="O48" s="15" t="str">
        <f>Raw_SRC_V16C_Repeats!E33</f>
        <v>random_stratified_matching_fixed_split0_class_counts</v>
      </c>
      <c r="P48" s="16">
        <f>Raw_SRC_V16C_Repeats!F33*100</f>
        <v>100</v>
      </c>
      <c r="Q48" s="16">
        <f>Raw_SRC_V16C_Repeats!G33*100</f>
        <v>79.6610169491525</v>
      </c>
      <c r="R48" s="16">
        <f>Raw_SRC_V16C_Repeats!H33*100</f>
        <v>62.1621621621622</v>
      </c>
      <c r="S48" s="17">
        <f>Raw_SRC_V16C_Repeats!H33</f>
        <v>0.621621621621622</v>
      </c>
      <c r="T48" s="16">
        <f>Raw_SRC_V16C_Repeats!I33*100</f>
        <v>69.1726015919564</v>
      </c>
      <c r="U48" s="15">
        <f>Raw_SRC_V16C_Repeats!J33</f>
        <v>4000</v>
      </c>
      <c r="V48" s="15">
        <f>Raw_SRC_V16C_Repeats!K33</f>
        <v>32</v>
      </c>
      <c r="W48" s="16">
        <f>Raw_SRC_V16C_Repeats!L33</f>
        <v>0.9</v>
      </c>
      <c r="X48" s="15" t="str">
        <f>Raw_SRC_V16C_Repeats!M33</f>
        <v>(0.01, 0.1, 1.0)</v>
      </c>
      <c r="Y48" s="16">
        <f>Raw_SRC_V16C_Repeats!N33</f>
        <v>0.2</v>
      </c>
      <c r="Z48" s="15" t="str">
        <f>Raw_SRC_V16C_Repeats!O33</f>
        <v>full</v>
      </c>
      <c r="AA48" s="15" t="str">
        <f>Raw_SRC_V16C_Repeats!P33</f>
        <v>grid_selected_by_val_only_no_test</v>
      </c>
      <c r="AB48" s="15" t="str">
        <f>Raw_SRC_V16C_Repeats!R33</f>
        <v>src_v16c_final_6datasets_repeat_rows.csv</v>
      </c>
      <c r="AC48" s="15">
        <f>Raw_SRC_V16C_Repeats!S33</f>
        <v>13</v>
      </c>
    </row>
    <row r="49" ht="22" customHeight="1" spans="1:29">
      <c r="A49" s="15" t="str">
        <f>Raw_SRC_V16C_Repeats!A34</f>
        <v>cornell</v>
      </c>
      <c r="B49" s="15" t="str">
        <f>"SRC-v16c repeat "&amp;Raw_SRC_V16C_Repeats!B34</f>
        <v>SRC-v16c repeat 2</v>
      </c>
      <c r="C49" s="15" t="s">
        <v>2</v>
      </c>
      <c r="D49" s="15"/>
      <c r="E49" s="16"/>
      <c r="F49" s="16"/>
      <c r="G49" s="16"/>
      <c r="H49" s="16"/>
      <c r="I49" s="16"/>
      <c r="J49" s="16"/>
      <c r="K49" s="16"/>
      <c r="L49" s="15">
        <f>Raw_SRC_V16C_Repeats!B34</f>
        <v>2</v>
      </c>
      <c r="M49" s="15">
        <f>Raw_SRC_V16C_Repeats!C34</f>
        <v>20260421</v>
      </c>
      <c r="N49" s="15">
        <f>Raw_SRC_V16C_Repeats!D34</f>
        <v>0</v>
      </c>
      <c r="O49" s="15" t="str">
        <f>Raw_SRC_V16C_Repeats!E34</f>
        <v>random_stratified_matching_fixed_split0_class_counts</v>
      </c>
      <c r="P49" s="16">
        <f>Raw_SRC_V16C_Repeats!F34*100</f>
        <v>100</v>
      </c>
      <c r="Q49" s="16">
        <f>Raw_SRC_V16C_Repeats!G34*100</f>
        <v>77.9661016949153</v>
      </c>
      <c r="R49" s="16">
        <f>Raw_SRC_V16C_Repeats!H34*100</f>
        <v>81.0810810810811</v>
      </c>
      <c r="S49" s="17">
        <f>Raw_SRC_V16C_Repeats!H34</f>
        <v>0.810810810810811</v>
      </c>
      <c r="T49" s="16">
        <f>Raw_SRC_V16C_Repeats!I34*100</f>
        <v>58.1336405529954</v>
      </c>
      <c r="U49" s="15">
        <f>Raw_SRC_V16C_Repeats!J34</f>
        <v>4000</v>
      </c>
      <c r="V49" s="15">
        <f>Raw_SRC_V16C_Repeats!K34</f>
        <v>32</v>
      </c>
      <c r="W49" s="16">
        <f>Raw_SRC_V16C_Repeats!L34</f>
        <v>0.9</v>
      </c>
      <c r="X49" s="15" t="str">
        <f>Raw_SRC_V16C_Repeats!M34</f>
        <v>(0.05, 0.5, 5.0)</v>
      </c>
      <c r="Y49" s="16">
        <f>Raw_SRC_V16C_Repeats!N34</f>
        <v>0.2</v>
      </c>
      <c r="Z49" s="15" t="str">
        <f>Raw_SRC_V16C_Repeats!O34</f>
        <v>full</v>
      </c>
      <c r="AA49" s="15" t="str">
        <f>Raw_SRC_V16C_Repeats!P34</f>
        <v>grid_selected_by_val_only_no_test</v>
      </c>
      <c r="AB49" s="15" t="str">
        <f>Raw_SRC_V16C_Repeats!R34</f>
        <v>src_v16c_final_6datasets_repeat_rows.csv</v>
      </c>
      <c r="AC49" s="15">
        <f>Raw_SRC_V16C_Repeats!S34</f>
        <v>14</v>
      </c>
    </row>
    <row r="50" ht="22" customHeight="1" spans="1:29">
      <c r="A50" s="15" t="str">
        <f>Raw_SRC_V16C_Repeats!A35</f>
        <v>cornell</v>
      </c>
      <c r="B50" s="15" t="str">
        <f>"SRC-v16c repeat "&amp;Raw_SRC_V16C_Repeats!B35</f>
        <v>SRC-v16c repeat 3</v>
      </c>
      <c r="C50" s="15" t="s">
        <v>2</v>
      </c>
      <c r="D50" s="15"/>
      <c r="E50" s="16"/>
      <c r="F50" s="16"/>
      <c r="G50" s="16"/>
      <c r="H50" s="16"/>
      <c r="I50" s="16"/>
      <c r="J50" s="16"/>
      <c r="K50" s="16"/>
      <c r="L50" s="15">
        <f>Raw_SRC_V16C_Repeats!B35</f>
        <v>3</v>
      </c>
      <c r="M50" s="15">
        <f>Raw_SRC_V16C_Repeats!C35</f>
        <v>20260422</v>
      </c>
      <c r="N50" s="15">
        <f>Raw_SRC_V16C_Repeats!D35</f>
        <v>0</v>
      </c>
      <c r="O50" s="15" t="str">
        <f>Raw_SRC_V16C_Repeats!E35</f>
        <v>random_stratified_matching_fixed_split0_class_counts</v>
      </c>
      <c r="P50" s="16">
        <f>Raw_SRC_V16C_Repeats!F35*100</f>
        <v>100</v>
      </c>
      <c r="Q50" s="16">
        <f>Raw_SRC_V16C_Repeats!G35*100</f>
        <v>84.7457627118644</v>
      </c>
      <c r="R50" s="16">
        <f>Raw_SRC_V16C_Repeats!H35*100</f>
        <v>75.6756756756757</v>
      </c>
      <c r="S50" s="17">
        <f>Raw_SRC_V16C_Repeats!H35</f>
        <v>0.756756756756757</v>
      </c>
      <c r="T50" s="16">
        <f>Raw_SRC_V16C_Repeats!I35*100</f>
        <v>61.3961038961039</v>
      </c>
      <c r="U50" s="15">
        <f>Raw_SRC_V16C_Repeats!J35</f>
        <v>4000</v>
      </c>
      <c r="V50" s="15">
        <f>Raw_SRC_V16C_Repeats!K35</f>
        <v>32</v>
      </c>
      <c r="W50" s="16">
        <f>Raw_SRC_V16C_Repeats!L35</f>
        <v>0.9</v>
      </c>
      <c r="X50" s="15" t="str">
        <f>Raw_SRC_V16C_Repeats!M35</f>
        <v>(0.05, 0.5, 5.0)</v>
      </c>
      <c r="Y50" s="16">
        <f>Raw_SRC_V16C_Repeats!N35</f>
        <v>0.2</v>
      </c>
      <c r="Z50" s="15" t="str">
        <f>Raw_SRC_V16C_Repeats!O35</f>
        <v>full</v>
      </c>
      <c r="AA50" s="15" t="str">
        <f>Raw_SRC_V16C_Repeats!P35</f>
        <v>grid_selected_by_val_only_no_test</v>
      </c>
      <c r="AB50" s="15" t="str">
        <f>Raw_SRC_V16C_Repeats!R35</f>
        <v>src_v16c_final_6datasets_repeat_rows.csv</v>
      </c>
      <c r="AC50" s="15">
        <f>Raw_SRC_V16C_Repeats!S35</f>
        <v>15</v>
      </c>
    </row>
    <row r="51" ht="22" customHeight="1" spans="1:29">
      <c r="A51" s="15" t="str">
        <f>Raw_SRC_V16C_Repeats!A36</f>
        <v>cornell</v>
      </c>
      <c r="B51" s="15" t="str">
        <f>"SRC-v16c repeat "&amp;Raw_SRC_V16C_Repeats!B36</f>
        <v>SRC-v16c repeat 4</v>
      </c>
      <c r="C51" s="15" t="s">
        <v>2</v>
      </c>
      <c r="D51" s="15"/>
      <c r="E51" s="16"/>
      <c r="F51" s="16"/>
      <c r="G51" s="16"/>
      <c r="H51" s="16"/>
      <c r="I51" s="16"/>
      <c r="J51" s="16"/>
      <c r="K51" s="16"/>
      <c r="L51" s="15">
        <f>Raw_SRC_V16C_Repeats!B36</f>
        <v>4</v>
      </c>
      <c r="M51" s="15">
        <f>Raw_SRC_V16C_Repeats!C36</f>
        <v>20260423</v>
      </c>
      <c r="N51" s="15">
        <f>Raw_SRC_V16C_Repeats!D36</f>
        <v>0</v>
      </c>
      <c r="O51" s="15" t="str">
        <f>Raw_SRC_V16C_Repeats!E36</f>
        <v>random_stratified_matching_fixed_split0_class_counts</v>
      </c>
      <c r="P51" s="16">
        <f>Raw_SRC_V16C_Repeats!F36*100</f>
        <v>100</v>
      </c>
      <c r="Q51" s="16">
        <f>Raw_SRC_V16C_Repeats!G36*100</f>
        <v>79.6610169491525</v>
      </c>
      <c r="R51" s="16">
        <f>Raw_SRC_V16C_Repeats!H36*100</f>
        <v>78.3783783783784</v>
      </c>
      <c r="S51" s="17">
        <f>Raw_SRC_V16C_Repeats!H36</f>
        <v>0.783783783783784</v>
      </c>
      <c r="T51" s="16">
        <f>Raw_SRC_V16C_Repeats!I36*100</f>
        <v>57.1145789694177</v>
      </c>
      <c r="U51" s="15">
        <f>Raw_SRC_V16C_Repeats!J36</f>
        <v>4000</v>
      </c>
      <c r="V51" s="15">
        <f>Raw_SRC_V16C_Repeats!K36</f>
        <v>32</v>
      </c>
      <c r="W51" s="16">
        <f>Raw_SRC_V16C_Repeats!L36</f>
        <v>0.9</v>
      </c>
      <c r="X51" s="15" t="str">
        <f>Raw_SRC_V16C_Repeats!M36</f>
        <v>(0.01, 0.1, 1.0)</v>
      </c>
      <c r="Y51" s="16">
        <f>Raw_SRC_V16C_Repeats!N36</f>
        <v>0.2</v>
      </c>
      <c r="Z51" s="15" t="str">
        <f>Raw_SRC_V16C_Repeats!O36</f>
        <v>full</v>
      </c>
      <c r="AA51" s="15" t="str">
        <f>Raw_SRC_V16C_Repeats!P36</f>
        <v>grid_selected_by_val_only_no_test</v>
      </c>
      <c r="AB51" s="15" t="str">
        <f>Raw_SRC_V16C_Repeats!R36</f>
        <v>src_v16c_final_6datasets_repeat_rows.csv</v>
      </c>
      <c r="AC51" s="15">
        <f>Raw_SRC_V16C_Repeats!S36</f>
        <v>16</v>
      </c>
    </row>
    <row r="52" ht="22" customHeight="1" spans="1:29">
      <c r="A52" s="15" t="str">
        <f>Raw_SRC_V16C_Repeats!A37</f>
        <v>cornell</v>
      </c>
      <c r="B52" s="15" t="str">
        <f>"SRC-v16c repeat "&amp;Raw_SRC_V16C_Repeats!B37</f>
        <v>SRC-v16c repeat 5</v>
      </c>
      <c r="C52" s="15" t="s">
        <v>2</v>
      </c>
      <c r="D52" s="15"/>
      <c r="E52" s="16"/>
      <c r="F52" s="16"/>
      <c r="G52" s="16"/>
      <c r="H52" s="16"/>
      <c r="I52" s="16"/>
      <c r="J52" s="16"/>
      <c r="K52" s="16"/>
      <c r="L52" s="15">
        <f>Raw_SRC_V16C_Repeats!B37</f>
        <v>5</v>
      </c>
      <c r="M52" s="15">
        <f>Raw_SRC_V16C_Repeats!C37</f>
        <v>20260424</v>
      </c>
      <c r="N52" s="15">
        <f>Raw_SRC_V16C_Repeats!D37</f>
        <v>0</v>
      </c>
      <c r="O52" s="15" t="str">
        <f>Raw_SRC_V16C_Repeats!E37</f>
        <v>random_stratified_matching_fixed_split0_class_counts</v>
      </c>
      <c r="P52" s="16">
        <f>Raw_SRC_V16C_Repeats!F37*100</f>
        <v>100</v>
      </c>
      <c r="Q52" s="16">
        <f>Raw_SRC_V16C_Repeats!G37*100</f>
        <v>76.271186440678</v>
      </c>
      <c r="R52" s="16">
        <f>Raw_SRC_V16C_Repeats!H37*100</f>
        <v>83.7837837837838</v>
      </c>
      <c r="S52" s="17">
        <f>Raw_SRC_V16C_Repeats!H37</f>
        <v>0.837837837837838</v>
      </c>
      <c r="T52" s="16">
        <f>Raw_SRC_V16C_Repeats!I37*100</f>
        <v>52.7963971512359</v>
      </c>
      <c r="U52" s="15">
        <f>Raw_SRC_V16C_Repeats!J37</f>
        <v>4000</v>
      </c>
      <c r="V52" s="15">
        <f>Raw_SRC_V16C_Repeats!K37</f>
        <v>32</v>
      </c>
      <c r="W52" s="16">
        <f>Raw_SRC_V16C_Repeats!L37</f>
        <v>0.9</v>
      </c>
      <c r="X52" s="15" t="str">
        <f>Raw_SRC_V16C_Repeats!M37</f>
        <v>(0.01, 0.1, 1.0)</v>
      </c>
      <c r="Y52" s="16">
        <f>Raw_SRC_V16C_Repeats!N37</f>
        <v>0.2</v>
      </c>
      <c r="Z52" s="15" t="str">
        <f>Raw_SRC_V16C_Repeats!O37</f>
        <v>full</v>
      </c>
      <c r="AA52" s="15" t="str">
        <f>Raw_SRC_V16C_Repeats!P37</f>
        <v>grid_selected_by_val_only_no_test</v>
      </c>
      <c r="AB52" s="15" t="str">
        <f>Raw_SRC_V16C_Repeats!R37</f>
        <v>src_v16c_final_6datasets_repeat_rows.csv</v>
      </c>
      <c r="AC52" s="15">
        <f>Raw_SRC_V16C_Repeats!S37</f>
        <v>17</v>
      </c>
    </row>
    <row r="53" ht="22" customHeight="1" spans="1:29">
      <c r="A53" s="15" t="str">
        <f>Raw_SRC_V16C_Repeats!A38</f>
        <v>cornell</v>
      </c>
      <c r="B53" s="15" t="str">
        <f>"SRC-v16c repeat "&amp;Raw_SRC_V16C_Repeats!B38</f>
        <v>SRC-v16c repeat 6</v>
      </c>
      <c r="C53" s="15" t="s">
        <v>2</v>
      </c>
      <c r="D53" s="15"/>
      <c r="E53" s="16"/>
      <c r="F53" s="16"/>
      <c r="G53" s="16"/>
      <c r="H53" s="16"/>
      <c r="I53" s="16"/>
      <c r="J53" s="16"/>
      <c r="K53" s="16"/>
      <c r="L53" s="15">
        <f>Raw_SRC_V16C_Repeats!B38</f>
        <v>6</v>
      </c>
      <c r="M53" s="15">
        <f>Raw_SRC_V16C_Repeats!C38</f>
        <v>20260425</v>
      </c>
      <c r="N53" s="15">
        <f>Raw_SRC_V16C_Repeats!D38</f>
        <v>0</v>
      </c>
      <c r="O53" s="15" t="str">
        <f>Raw_SRC_V16C_Repeats!E38</f>
        <v>random_stratified_matching_fixed_split0_class_counts</v>
      </c>
      <c r="P53" s="16">
        <f>Raw_SRC_V16C_Repeats!F38*100</f>
        <v>100</v>
      </c>
      <c r="Q53" s="16">
        <f>Raw_SRC_V16C_Repeats!G38*100</f>
        <v>81.3559322033898</v>
      </c>
      <c r="R53" s="16">
        <f>Raw_SRC_V16C_Repeats!H38*100</f>
        <v>81.0810810810811</v>
      </c>
      <c r="S53" s="17">
        <f>Raw_SRC_V16C_Repeats!H38</f>
        <v>0.810810810810811</v>
      </c>
      <c r="T53" s="16">
        <f>Raw_SRC_V16C_Repeats!I38*100</f>
        <v>66.4327607875995</v>
      </c>
      <c r="U53" s="15">
        <f>Raw_SRC_V16C_Repeats!J38</f>
        <v>6000</v>
      </c>
      <c r="V53" s="15">
        <f>Raw_SRC_V16C_Repeats!K38</f>
        <v>32</v>
      </c>
      <c r="W53" s="16">
        <f>Raw_SRC_V16C_Repeats!L38</f>
        <v>0.9</v>
      </c>
      <c r="X53" s="15" t="str">
        <f>Raw_SRC_V16C_Repeats!M38</f>
        <v>(0.01, 0.1, 1.0)</v>
      </c>
      <c r="Y53" s="16">
        <f>Raw_SRC_V16C_Repeats!N38</f>
        <v>0.2</v>
      </c>
      <c r="Z53" s="15" t="str">
        <f>Raw_SRC_V16C_Repeats!O38</f>
        <v>full</v>
      </c>
      <c r="AA53" s="15" t="str">
        <f>Raw_SRC_V16C_Repeats!P38</f>
        <v>grid_selected_by_val_only_no_test</v>
      </c>
      <c r="AB53" s="15" t="str">
        <f>Raw_SRC_V16C_Repeats!R38</f>
        <v>src_v16c_final_6datasets_repeat_rows.csv</v>
      </c>
      <c r="AC53" s="15">
        <f>Raw_SRC_V16C_Repeats!S38</f>
        <v>18</v>
      </c>
    </row>
    <row r="54" ht="22" customHeight="1" spans="1:29">
      <c r="A54" s="15" t="str">
        <f>Raw_SRC_V16C_Repeats!A39</f>
        <v>cornell</v>
      </c>
      <c r="B54" s="15" t="str">
        <f>"SRC-v16c repeat "&amp;Raw_SRC_V16C_Repeats!B39</f>
        <v>SRC-v16c repeat 7</v>
      </c>
      <c r="C54" s="15" t="s">
        <v>2</v>
      </c>
      <c r="D54" s="15"/>
      <c r="E54" s="16"/>
      <c r="F54" s="16"/>
      <c r="G54" s="16"/>
      <c r="H54" s="16"/>
      <c r="I54" s="16"/>
      <c r="J54" s="16"/>
      <c r="K54" s="16"/>
      <c r="L54" s="15">
        <f>Raw_SRC_V16C_Repeats!B39</f>
        <v>7</v>
      </c>
      <c r="M54" s="15">
        <f>Raw_SRC_V16C_Repeats!C39</f>
        <v>20260426</v>
      </c>
      <c r="N54" s="15">
        <f>Raw_SRC_V16C_Repeats!D39</f>
        <v>0</v>
      </c>
      <c r="O54" s="15" t="str">
        <f>Raw_SRC_V16C_Repeats!E39</f>
        <v>random_stratified_matching_fixed_split0_class_counts</v>
      </c>
      <c r="P54" s="16">
        <f>Raw_SRC_V16C_Repeats!F39*100</f>
        <v>100</v>
      </c>
      <c r="Q54" s="16">
        <f>Raw_SRC_V16C_Repeats!G39*100</f>
        <v>77.9661016949153</v>
      </c>
      <c r="R54" s="16">
        <f>Raw_SRC_V16C_Repeats!H39*100</f>
        <v>72.972972972973</v>
      </c>
      <c r="S54" s="17">
        <f>Raw_SRC_V16C_Repeats!H39</f>
        <v>0.72972972972973</v>
      </c>
      <c r="T54" s="16">
        <f>Raw_SRC_V16C_Repeats!I39*100</f>
        <v>56.1447423544198</v>
      </c>
      <c r="U54" s="15">
        <f>Raw_SRC_V16C_Repeats!J39</f>
        <v>5000</v>
      </c>
      <c r="V54" s="15">
        <f>Raw_SRC_V16C_Repeats!K39</f>
        <v>32</v>
      </c>
      <c r="W54" s="16">
        <f>Raw_SRC_V16C_Repeats!L39</f>
        <v>0.9</v>
      </c>
      <c r="X54" s="15" t="str">
        <f>Raw_SRC_V16C_Repeats!M39</f>
        <v>(0.01, 0.1, 1.0)</v>
      </c>
      <c r="Y54" s="16">
        <f>Raw_SRC_V16C_Repeats!N39</f>
        <v>0.2</v>
      </c>
      <c r="Z54" s="15" t="str">
        <f>Raw_SRC_V16C_Repeats!O39</f>
        <v>full</v>
      </c>
      <c r="AA54" s="15" t="str">
        <f>Raw_SRC_V16C_Repeats!P39</f>
        <v>grid_selected_by_val_only_no_test</v>
      </c>
      <c r="AB54" s="15" t="str">
        <f>Raw_SRC_V16C_Repeats!R39</f>
        <v>src_v16c_final_6datasets_repeat_rows.csv</v>
      </c>
      <c r="AC54" s="15">
        <f>Raw_SRC_V16C_Repeats!S39</f>
        <v>19</v>
      </c>
    </row>
    <row r="55" ht="22" customHeight="1" spans="1:29">
      <c r="A55" s="15" t="str">
        <f>Raw_SRC_V16C_Repeats!A40</f>
        <v>cornell</v>
      </c>
      <c r="B55" s="15" t="str">
        <f>"SRC-v16c repeat "&amp;Raw_SRC_V16C_Repeats!B40</f>
        <v>SRC-v16c repeat 8</v>
      </c>
      <c r="C55" s="15" t="s">
        <v>2</v>
      </c>
      <c r="D55" s="15"/>
      <c r="E55" s="16"/>
      <c r="F55" s="16"/>
      <c r="G55" s="16"/>
      <c r="H55" s="16"/>
      <c r="I55" s="16"/>
      <c r="J55" s="16"/>
      <c r="K55" s="16"/>
      <c r="L55" s="15">
        <f>Raw_SRC_V16C_Repeats!B40</f>
        <v>8</v>
      </c>
      <c r="M55" s="15">
        <f>Raw_SRC_V16C_Repeats!C40</f>
        <v>20260427</v>
      </c>
      <c r="N55" s="15">
        <f>Raw_SRC_V16C_Repeats!D40</f>
        <v>0</v>
      </c>
      <c r="O55" s="15" t="str">
        <f>Raw_SRC_V16C_Repeats!E40</f>
        <v>random_stratified_matching_fixed_split0_class_counts</v>
      </c>
      <c r="P55" s="16">
        <f>Raw_SRC_V16C_Repeats!F40*100</f>
        <v>100</v>
      </c>
      <c r="Q55" s="16">
        <f>Raw_SRC_V16C_Repeats!G40*100</f>
        <v>84.7457627118644</v>
      </c>
      <c r="R55" s="16">
        <f>Raw_SRC_V16C_Repeats!H40*100</f>
        <v>72.972972972973</v>
      </c>
      <c r="S55" s="17">
        <f>Raw_SRC_V16C_Repeats!H40</f>
        <v>0.72972972972973</v>
      </c>
      <c r="T55" s="16">
        <f>Raw_SRC_V16C_Repeats!I40*100</f>
        <v>70.7509426057813</v>
      </c>
      <c r="U55" s="15">
        <f>Raw_SRC_V16C_Repeats!J40</f>
        <v>4000</v>
      </c>
      <c r="V55" s="15">
        <f>Raw_SRC_V16C_Repeats!K40</f>
        <v>32</v>
      </c>
      <c r="W55" s="16">
        <f>Raw_SRC_V16C_Repeats!L40</f>
        <v>0.9</v>
      </c>
      <c r="X55" s="15" t="str">
        <f>Raw_SRC_V16C_Repeats!M40</f>
        <v>(0.01, 0.1, 1.0)</v>
      </c>
      <c r="Y55" s="16">
        <f>Raw_SRC_V16C_Repeats!N40</f>
        <v>0.7</v>
      </c>
      <c r="Z55" s="15" t="str">
        <f>Raw_SRC_V16C_Repeats!O40</f>
        <v>full</v>
      </c>
      <c r="AA55" s="15" t="str">
        <f>Raw_SRC_V16C_Repeats!P40</f>
        <v>grid_selected_by_val_only_no_test</v>
      </c>
      <c r="AB55" s="15" t="str">
        <f>Raw_SRC_V16C_Repeats!R40</f>
        <v>src_v16c_final_6datasets_repeat_rows.csv</v>
      </c>
      <c r="AC55" s="15">
        <f>Raw_SRC_V16C_Repeats!S40</f>
        <v>20</v>
      </c>
    </row>
    <row r="56" ht="22" customHeight="1" spans="1:29">
      <c r="A56" s="15" t="str">
        <f>Raw_SRC_V16C_Repeats!A41</f>
        <v>cornell</v>
      </c>
      <c r="B56" s="15" t="str">
        <f>"SRC-v16c repeat "&amp;Raw_SRC_V16C_Repeats!B41</f>
        <v>SRC-v16c repeat 9</v>
      </c>
      <c r="C56" s="15" t="s">
        <v>2</v>
      </c>
      <c r="D56" s="15"/>
      <c r="E56" s="16"/>
      <c r="F56" s="16"/>
      <c r="G56" s="16"/>
      <c r="H56" s="16"/>
      <c r="I56" s="16"/>
      <c r="J56" s="16"/>
      <c r="K56" s="16"/>
      <c r="L56" s="15">
        <f>Raw_SRC_V16C_Repeats!B41</f>
        <v>9</v>
      </c>
      <c r="M56" s="15">
        <f>Raw_SRC_V16C_Repeats!C41</f>
        <v>20260428</v>
      </c>
      <c r="N56" s="15">
        <f>Raw_SRC_V16C_Repeats!D41</f>
        <v>0</v>
      </c>
      <c r="O56" s="15" t="str">
        <f>Raw_SRC_V16C_Repeats!E41</f>
        <v>random_stratified_matching_fixed_split0_class_counts</v>
      </c>
      <c r="P56" s="16">
        <f>Raw_SRC_V16C_Repeats!F41*100</f>
        <v>98.8505747126437</v>
      </c>
      <c r="Q56" s="16">
        <f>Raw_SRC_V16C_Repeats!G41*100</f>
        <v>84.7457627118644</v>
      </c>
      <c r="R56" s="16">
        <f>Raw_SRC_V16C_Repeats!H41*100</f>
        <v>64.8648648648649</v>
      </c>
      <c r="S56" s="17">
        <f>Raw_SRC_V16C_Repeats!H41</f>
        <v>0.648648648648649</v>
      </c>
      <c r="T56" s="16">
        <f>Raw_SRC_V16C_Repeats!I41*100</f>
        <v>61.0714285714286</v>
      </c>
      <c r="U56" s="15">
        <f>Raw_SRC_V16C_Repeats!J41</f>
        <v>4000</v>
      </c>
      <c r="V56" s="15">
        <f>Raw_SRC_V16C_Repeats!K41</f>
        <v>32</v>
      </c>
      <c r="W56" s="16">
        <f>Raw_SRC_V16C_Repeats!L41</f>
        <v>0.9</v>
      </c>
      <c r="X56" s="15" t="str">
        <f>Raw_SRC_V16C_Repeats!M41</f>
        <v>(0.1, 1.0, 10.0)</v>
      </c>
      <c r="Y56" s="16">
        <f>Raw_SRC_V16C_Repeats!N41</f>
        <v>0.2</v>
      </c>
      <c r="Z56" s="15" t="str">
        <f>Raw_SRC_V16C_Repeats!O41</f>
        <v>full</v>
      </c>
      <c r="AA56" s="15" t="str">
        <f>Raw_SRC_V16C_Repeats!P41</f>
        <v>grid_selected_by_val_only_no_test</v>
      </c>
      <c r="AB56" s="15" t="str">
        <f>Raw_SRC_V16C_Repeats!R41</f>
        <v>src_v16c_final_6datasets_repeat_rows.csv</v>
      </c>
      <c r="AC56" s="15">
        <f>Raw_SRC_V16C_Repeats!S41</f>
        <v>21</v>
      </c>
    </row>
    <row r="57" ht="22" customHeight="1" spans="1:29">
      <c r="A57" s="2"/>
      <c r="B57" s="2"/>
      <c r="C57" s="2"/>
      <c r="D57" s="2"/>
      <c r="E57" s="18"/>
      <c r="F57" s="18"/>
      <c r="G57" s="18"/>
      <c r="H57" s="18"/>
      <c r="I57" s="18"/>
      <c r="J57" s="18"/>
      <c r="K57" s="18"/>
      <c r="L57" s="2"/>
      <c r="M57" s="2"/>
      <c r="N57" s="2"/>
      <c r="O57" s="2"/>
      <c r="P57" s="18"/>
      <c r="Q57" s="18"/>
      <c r="R57" s="18"/>
      <c r="S57" s="19"/>
      <c r="T57" s="18"/>
      <c r="U57" s="2"/>
      <c r="V57" s="2"/>
      <c r="W57" s="18"/>
      <c r="X57" s="2"/>
      <c r="Y57" s="18"/>
      <c r="Z57" s="2"/>
      <c r="AA57" s="2"/>
      <c r="AB57" s="2"/>
      <c r="AC57" s="2"/>
    </row>
    <row r="58" ht="22" customHeight="1" spans="1:29">
      <c r="A58" s="6" t="s">
        <v>129</v>
      </c>
    </row>
    <row r="59" ht="22" customHeight="1" spans="1:29">
      <c r="A59" s="7" t="s">
        <v>55</v>
      </c>
      <c r="B59" s="7" t="s">
        <v>115</v>
      </c>
      <c r="C59" s="7" t="s">
        <v>75</v>
      </c>
      <c r="D59" s="8">
        <f>COUNT(Raw_Strongest_Baseline_Repeats!H42:H51)</f>
        <v>10</v>
      </c>
      <c r="E59" s="9">
        <f>AVERAGE(Raw_Strongest_Baseline_Repeats!F42:F51)*100</f>
        <v>97.0114934444427</v>
      </c>
      <c r="F59" s="9">
        <f>_xlfn.STDEV.S(Raw_Strongest_Baseline_Repeats!F42:F51)*100</f>
        <v>3.34893018894004</v>
      </c>
      <c r="G59" s="9">
        <f>AVERAGE(Raw_Strongest_Baseline_Repeats!G42:G51)*100</f>
        <v>82.2033900022507</v>
      </c>
      <c r="H59" s="9">
        <f>_xlfn.STDEV.S(Raw_Strongest_Baseline_Repeats!G42:G51)*100</f>
        <v>6.15015205678473</v>
      </c>
      <c r="I59" s="9">
        <f>AVERAGE(Raw_Strongest_Baseline_Repeats!H42:H51)*100</f>
        <v>78.3783781528473</v>
      </c>
      <c r="J59" s="9">
        <f>_xlfn.STDEV.S(Raw_Strongest_Baseline_Repeats!H42:H51)*100</f>
        <v>7.95654017795972</v>
      </c>
      <c r="K59" s="9" t="s">
        <v>41</v>
      </c>
      <c r="L59" s="8"/>
      <c r="M59" s="8"/>
      <c r="N59" s="8"/>
      <c r="O59" s="8"/>
      <c r="P59" s="9"/>
      <c r="Q59" s="9"/>
      <c r="R59" s="9"/>
      <c r="S59" s="10"/>
      <c r="T59" s="9"/>
      <c r="U59" s="8"/>
      <c r="V59" s="8"/>
      <c r="W59" s="9"/>
      <c r="X59" s="8"/>
      <c r="Y59" s="9"/>
      <c r="Z59" s="8"/>
      <c r="AA59" s="8"/>
      <c r="AB59" s="8" t="s">
        <v>63</v>
      </c>
      <c r="AC59" s="8" t="s">
        <v>130</v>
      </c>
    </row>
    <row r="60" ht="22" customHeight="1" spans="1:29">
      <c r="A60" s="11" t="s">
        <v>55</v>
      </c>
      <c r="B60" s="11" t="s">
        <v>117</v>
      </c>
      <c r="C60" s="11" t="s">
        <v>2</v>
      </c>
      <c r="D60" s="12">
        <f>COUNT(Raw_SRC_V16C_Repeats!H42:H51)</f>
        <v>10</v>
      </c>
      <c r="E60" s="13">
        <f>AVERAGE(Raw_SRC_V16C_Repeats!F42:F51)*100</f>
        <v>100</v>
      </c>
      <c r="F60" s="13">
        <f>_xlfn.STDEV.S(Raw_SRC_V16C_Repeats!F42:F51)*100</f>
        <v>0</v>
      </c>
      <c r="G60" s="13">
        <f>AVERAGE(Raw_SRC_V16C_Repeats!G42:G51)*100</f>
        <v>87.7586206896552</v>
      </c>
      <c r="H60" s="13">
        <f>_xlfn.STDEV.S(Raw_SRC_V16C_Repeats!G42:G51)*100</f>
        <v>2.49851323210163</v>
      </c>
      <c r="I60" s="13">
        <f>AVERAGE(Raw_SRC_V16C_Repeats!H42:H51)*100</f>
        <v>86.3157894736842</v>
      </c>
      <c r="J60" s="13">
        <f>_xlfn.STDEV.S(Raw_SRC_V16C_Repeats!H42:H51)*100</f>
        <v>4.07682457495517</v>
      </c>
      <c r="K60" s="13">
        <f>I60-I59</f>
        <v>7.9374113208369</v>
      </c>
      <c r="L60" s="12"/>
      <c r="M60" s="12"/>
      <c r="N60" s="12"/>
      <c r="O60" s="12"/>
      <c r="P60" s="13"/>
      <c r="Q60" s="13"/>
      <c r="R60" s="13"/>
      <c r="S60" s="14"/>
      <c r="T60" s="13"/>
      <c r="U60" s="12"/>
      <c r="V60" s="12"/>
      <c r="W60" s="13"/>
      <c r="X60" s="12"/>
      <c r="Y60" s="13"/>
      <c r="Z60" s="12"/>
      <c r="AA60" s="12"/>
      <c r="AB60" s="12" t="s">
        <v>118</v>
      </c>
      <c r="AC60" s="12" t="s">
        <v>131</v>
      </c>
    </row>
    <row r="61" ht="22" customHeight="1" spans="1:29">
      <c r="A61" s="15" t="str">
        <f>Raw_SRC_V16C_Repeats!A42</f>
        <v>texas</v>
      </c>
      <c r="B61" s="15" t="str">
        <f>"SRC-v16c repeat "&amp;Raw_SRC_V16C_Repeats!B42</f>
        <v>SRC-v16c repeat 0</v>
      </c>
      <c r="C61" s="15" t="s">
        <v>2</v>
      </c>
      <c r="D61" s="15"/>
      <c r="E61" s="16"/>
      <c r="F61" s="16"/>
      <c r="G61" s="16"/>
      <c r="H61" s="16"/>
      <c r="I61" s="16"/>
      <c r="J61" s="16"/>
      <c r="K61" s="16"/>
      <c r="L61" s="15">
        <f>Raw_SRC_V16C_Repeats!B42</f>
        <v>0</v>
      </c>
      <c r="M61" s="15">
        <f>Raw_SRC_V16C_Repeats!C42</f>
        <v>20260419</v>
      </c>
      <c r="N61" s="15">
        <f>Raw_SRC_V16C_Repeats!D42</f>
        <v>0</v>
      </c>
      <c r="O61" s="15" t="str">
        <f>Raw_SRC_V16C_Repeats!E42</f>
        <v>random_stratified_matching_fixed_split0_class_counts</v>
      </c>
      <c r="P61" s="16">
        <f>Raw_SRC_V16C_Repeats!F42*100</f>
        <v>100</v>
      </c>
      <c r="Q61" s="16">
        <f>Raw_SRC_V16C_Repeats!G42*100</f>
        <v>86.2068965517241</v>
      </c>
      <c r="R61" s="16">
        <f>Raw_SRC_V16C_Repeats!H42*100</f>
        <v>86.8421052631579</v>
      </c>
      <c r="S61" s="17">
        <f>Raw_SRC_V16C_Repeats!H42</f>
        <v>0.868421052631579</v>
      </c>
      <c r="T61" s="16">
        <f>Raw_SRC_V16C_Repeats!I42*100</f>
        <v>75.5299539170507</v>
      </c>
      <c r="U61" s="15">
        <f>Raw_SRC_V16C_Repeats!J42</f>
        <v>4000</v>
      </c>
      <c r="V61" s="15">
        <f>Raw_SRC_V16C_Repeats!K42</f>
        <v>32</v>
      </c>
      <c r="W61" s="16">
        <f>Raw_SRC_V16C_Repeats!L42</f>
        <v>0.9</v>
      </c>
      <c r="X61" s="15" t="str">
        <f>Raw_SRC_V16C_Repeats!M42</f>
        <v>(0.01, 0.1, 1.0)</v>
      </c>
      <c r="Y61" s="16">
        <f>Raw_SRC_V16C_Repeats!N42</f>
        <v>0.2</v>
      </c>
      <c r="Z61" s="15" t="str">
        <f>Raw_SRC_V16C_Repeats!O42</f>
        <v>full</v>
      </c>
      <c r="AA61" s="15" t="str">
        <f>Raw_SRC_V16C_Repeats!P42</f>
        <v>grid_selected_by_val_only_no_test</v>
      </c>
      <c r="AB61" s="15" t="str">
        <f>Raw_SRC_V16C_Repeats!R42</f>
        <v>src_v16c_final_6datasets_repeat_rows.csv</v>
      </c>
      <c r="AC61" s="15">
        <f>Raw_SRC_V16C_Repeats!S42</f>
        <v>2</v>
      </c>
    </row>
    <row r="62" ht="22" customHeight="1" spans="1:29">
      <c r="A62" s="15" t="str">
        <f>Raw_SRC_V16C_Repeats!A43</f>
        <v>texas</v>
      </c>
      <c r="B62" s="15" t="str">
        <f>"SRC-v16c repeat "&amp;Raw_SRC_V16C_Repeats!B43</f>
        <v>SRC-v16c repeat 1</v>
      </c>
      <c r="C62" s="15" t="s">
        <v>2</v>
      </c>
      <c r="D62" s="15"/>
      <c r="E62" s="16"/>
      <c r="F62" s="16"/>
      <c r="G62" s="16"/>
      <c r="H62" s="16"/>
      <c r="I62" s="16"/>
      <c r="J62" s="16"/>
      <c r="K62" s="16"/>
      <c r="L62" s="15">
        <f>Raw_SRC_V16C_Repeats!B43</f>
        <v>1</v>
      </c>
      <c r="M62" s="15">
        <f>Raw_SRC_V16C_Repeats!C43</f>
        <v>20260420</v>
      </c>
      <c r="N62" s="15">
        <f>Raw_SRC_V16C_Repeats!D43</f>
        <v>0</v>
      </c>
      <c r="O62" s="15" t="str">
        <f>Raw_SRC_V16C_Repeats!E43</f>
        <v>random_stratified_matching_fixed_split0_class_counts</v>
      </c>
      <c r="P62" s="16">
        <f>Raw_SRC_V16C_Repeats!F43*100</f>
        <v>100</v>
      </c>
      <c r="Q62" s="16">
        <f>Raw_SRC_V16C_Repeats!G43*100</f>
        <v>89.6551724137931</v>
      </c>
      <c r="R62" s="16">
        <f>Raw_SRC_V16C_Repeats!H43*100</f>
        <v>89.4736842105263</v>
      </c>
      <c r="S62" s="17">
        <f>Raw_SRC_V16C_Repeats!H43</f>
        <v>0.894736842105263</v>
      </c>
      <c r="T62" s="16">
        <f>Raw_SRC_V16C_Repeats!I43*100</f>
        <v>83.7173579109063</v>
      </c>
      <c r="U62" s="15">
        <f>Raw_SRC_V16C_Repeats!J43</f>
        <v>8000</v>
      </c>
      <c r="V62" s="15">
        <f>Raw_SRC_V16C_Repeats!K43</f>
        <v>32</v>
      </c>
      <c r="W62" s="16">
        <f>Raw_SRC_V16C_Repeats!L43</f>
        <v>0.9</v>
      </c>
      <c r="X62" s="15" t="str">
        <f>Raw_SRC_V16C_Repeats!M43</f>
        <v>(0.01, 0.1, 1.0)</v>
      </c>
      <c r="Y62" s="16">
        <f>Raw_SRC_V16C_Repeats!N43</f>
        <v>0.2</v>
      </c>
      <c r="Z62" s="15" t="str">
        <f>Raw_SRC_V16C_Repeats!O43</f>
        <v>full</v>
      </c>
      <c r="AA62" s="15" t="str">
        <f>Raw_SRC_V16C_Repeats!P43</f>
        <v>grid_selected_by_val_only_no_test</v>
      </c>
      <c r="AB62" s="15" t="str">
        <f>Raw_SRC_V16C_Repeats!R43</f>
        <v>src_v16c_final_6datasets_repeat_rows.csv</v>
      </c>
      <c r="AC62" s="15">
        <f>Raw_SRC_V16C_Repeats!S43</f>
        <v>3</v>
      </c>
    </row>
    <row r="63" ht="22" customHeight="1" spans="1:29">
      <c r="A63" s="15" t="str">
        <f>Raw_SRC_V16C_Repeats!A44</f>
        <v>texas</v>
      </c>
      <c r="B63" s="15" t="str">
        <f>"SRC-v16c repeat "&amp;Raw_SRC_V16C_Repeats!B44</f>
        <v>SRC-v16c repeat 2</v>
      </c>
      <c r="C63" s="15" t="s">
        <v>2</v>
      </c>
      <c r="D63" s="15"/>
      <c r="E63" s="16"/>
      <c r="F63" s="16"/>
      <c r="G63" s="16"/>
      <c r="H63" s="16"/>
      <c r="I63" s="16"/>
      <c r="J63" s="16"/>
      <c r="K63" s="16"/>
      <c r="L63" s="15">
        <f>Raw_SRC_V16C_Repeats!B44</f>
        <v>2</v>
      </c>
      <c r="M63" s="15">
        <f>Raw_SRC_V16C_Repeats!C44</f>
        <v>20260421</v>
      </c>
      <c r="N63" s="15">
        <f>Raw_SRC_V16C_Repeats!D44</f>
        <v>0</v>
      </c>
      <c r="O63" s="15" t="str">
        <f>Raw_SRC_V16C_Repeats!E44</f>
        <v>random_stratified_matching_fixed_split0_class_counts</v>
      </c>
      <c r="P63" s="16">
        <f>Raw_SRC_V16C_Repeats!F44*100</f>
        <v>100</v>
      </c>
      <c r="Q63" s="16">
        <f>Raw_SRC_V16C_Repeats!G44*100</f>
        <v>84.4827586206897</v>
      </c>
      <c r="R63" s="16">
        <f>Raw_SRC_V16C_Repeats!H44*100</f>
        <v>78.9473684210526</v>
      </c>
      <c r="S63" s="17">
        <f>Raw_SRC_V16C_Repeats!H44</f>
        <v>0.789473684210526</v>
      </c>
      <c r="T63" s="16">
        <f>Raw_SRC_V16C_Repeats!I44*100</f>
        <v>74.431643625192</v>
      </c>
      <c r="U63" s="15">
        <f>Raw_SRC_V16C_Repeats!J44</f>
        <v>5000</v>
      </c>
      <c r="V63" s="15">
        <f>Raw_SRC_V16C_Repeats!K44</f>
        <v>32</v>
      </c>
      <c r="W63" s="16">
        <f>Raw_SRC_V16C_Repeats!L44</f>
        <v>0.9</v>
      </c>
      <c r="X63" s="15" t="str">
        <f>Raw_SRC_V16C_Repeats!M44</f>
        <v>(0.01, 0.1, 1.0)</v>
      </c>
      <c r="Y63" s="16">
        <f>Raw_SRC_V16C_Repeats!N44</f>
        <v>0.2</v>
      </c>
      <c r="Z63" s="15" t="str">
        <f>Raw_SRC_V16C_Repeats!O44</f>
        <v>full</v>
      </c>
      <c r="AA63" s="15" t="str">
        <f>Raw_SRC_V16C_Repeats!P44</f>
        <v>grid_selected_by_val_only_no_test</v>
      </c>
      <c r="AB63" s="15" t="str">
        <f>Raw_SRC_V16C_Repeats!R44</f>
        <v>src_v16c_final_6datasets_repeat_rows.csv</v>
      </c>
      <c r="AC63" s="15">
        <f>Raw_SRC_V16C_Repeats!S44</f>
        <v>4</v>
      </c>
    </row>
    <row r="64" ht="22" customHeight="1" spans="1:29">
      <c r="A64" s="15" t="str">
        <f>Raw_SRC_V16C_Repeats!A45</f>
        <v>texas</v>
      </c>
      <c r="B64" s="15" t="str">
        <f>"SRC-v16c repeat "&amp;Raw_SRC_V16C_Repeats!B45</f>
        <v>SRC-v16c repeat 3</v>
      </c>
      <c r="C64" s="15" t="s">
        <v>2</v>
      </c>
      <c r="D64" s="15"/>
      <c r="E64" s="16"/>
      <c r="F64" s="16"/>
      <c r="G64" s="16"/>
      <c r="H64" s="16"/>
      <c r="I64" s="16"/>
      <c r="J64" s="16"/>
      <c r="K64" s="16"/>
      <c r="L64" s="15">
        <f>Raw_SRC_V16C_Repeats!B45</f>
        <v>3</v>
      </c>
      <c r="M64" s="15">
        <f>Raw_SRC_V16C_Repeats!C45</f>
        <v>20260422</v>
      </c>
      <c r="N64" s="15">
        <f>Raw_SRC_V16C_Repeats!D45</f>
        <v>0</v>
      </c>
      <c r="O64" s="15" t="str">
        <f>Raw_SRC_V16C_Repeats!E45</f>
        <v>random_stratified_matching_fixed_split0_class_counts</v>
      </c>
      <c r="P64" s="16">
        <f>Raw_SRC_V16C_Repeats!F45*100</f>
        <v>100</v>
      </c>
      <c r="Q64" s="16">
        <f>Raw_SRC_V16C_Repeats!G45*100</f>
        <v>91.3793103448276</v>
      </c>
      <c r="R64" s="16">
        <f>Raw_SRC_V16C_Repeats!H45*100</f>
        <v>86.8421052631579</v>
      </c>
      <c r="S64" s="17">
        <f>Raw_SRC_V16C_Repeats!H45</f>
        <v>0.868421052631579</v>
      </c>
      <c r="T64" s="16">
        <f>Raw_SRC_V16C_Repeats!I45*100</f>
        <v>84.5238095238095</v>
      </c>
      <c r="U64" s="15">
        <f>Raw_SRC_V16C_Repeats!J45</f>
        <v>4000</v>
      </c>
      <c r="V64" s="15">
        <f>Raw_SRC_V16C_Repeats!K45</f>
        <v>32</v>
      </c>
      <c r="W64" s="16">
        <f>Raw_SRC_V16C_Repeats!L45</f>
        <v>0.9</v>
      </c>
      <c r="X64" s="15" t="str">
        <f>Raw_SRC_V16C_Repeats!M45</f>
        <v>(0.01, 0.1, 1.0)</v>
      </c>
      <c r="Y64" s="16">
        <f>Raw_SRC_V16C_Repeats!N45</f>
        <v>0.2</v>
      </c>
      <c r="Z64" s="15" t="str">
        <f>Raw_SRC_V16C_Repeats!O45</f>
        <v>full</v>
      </c>
      <c r="AA64" s="15" t="str">
        <f>Raw_SRC_V16C_Repeats!P45</f>
        <v>grid_selected_by_val_only_no_test</v>
      </c>
      <c r="AB64" s="15" t="str">
        <f>Raw_SRC_V16C_Repeats!R45</f>
        <v>src_v16c_final_6datasets_repeat_rows.csv</v>
      </c>
      <c r="AC64" s="15">
        <f>Raw_SRC_V16C_Repeats!S45</f>
        <v>5</v>
      </c>
    </row>
    <row r="65" ht="22" customHeight="1" spans="1:29">
      <c r="A65" s="15" t="str">
        <f>Raw_SRC_V16C_Repeats!A46</f>
        <v>texas</v>
      </c>
      <c r="B65" s="15" t="str">
        <f>"SRC-v16c repeat "&amp;Raw_SRC_V16C_Repeats!B46</f>
        <v>SRC-v16c repeat 4</v>
      </c>
      <c r="C65" s="15" t="s">
        <v>2</v>
      </c>
      <c r="D65" s="15"/>
      <c r="E65" s="16"/>
      <c r="F65" s="16"/>
      <c r="G65" s="16"/>
      <c r="H65" s="16"/>
      <c r="I65" s="16"/>
      <c r="J65" s="16"/>
      <c r="K65" s="16"/>
      <c r="L65" s="15">
        <f>Raw_SRC_V16C_Repeats!B46</f>
        <v>4</v>
      </c>
      <c r="M65" s="15">
        <f>Raw_SRC_V16C_Repeats!C46</f>
        <v>20260423</v>
      </c>
      <c r="N65" s="15">
        <f>Raw_SRC_V16C_Repeats!D46</f>
        <v>0</v>
      </c>
      <c r="O65" s="15" t="str">
        <f>Raw_SRC_V16C_Repeats!E46</f>
        <v>random_stratified_matching_fixed_split0_class_counts</v>
      </c>
      <c r="P65" s="16">
        <f>Raw_SRC_V16C_Repeats!F46*100</f>
        <v>100</v>
      </c>
      <c r="Q65" s="16">
        <f>Raw_SRC_V16C_Repeats!G46*100</f>
        <v>86.2068965517241</v>
      </c>
      <c r="R65" s="16">
        <f>Raw_SRC_V16C_Repeats!H46*100</f>
        <v>84.2105263157895</v>
      </c>
      <c r="S65" s="17">
        <f>Raw_SRC_V16C_Repeats!H46</f>
        <v>0.842105263157895</v>
      </c>
      <c r="T65" s="16">
        <f>Raw_SRC_V16C_Repeats!I46*100</f>
        <v>72.3809523809524</v>
      </c>
      <c r="U65" s="15">
        <f>Raw_SRC_V16C_Repeats!J46</f>
        <v>4000</v>
      </c>
      <c r="V65" s="15">
        <f>Raw_SRC_V16C_Repeats!K46</f>
        <v>32</v>
      </c>
      <c r="W65" s="16">
        <f>Raw_SRC_V16C_Repeats!L46</f>
        <v>0.9</v>
      </c>
      <c r="X65" s="15" t="str">
        <f>Raw_SRC_V16C_Repeats!M46</f>
        <v>(0.01, 0.1, 1.0)</v>
      </c>
      <c r="Y65" s="16">
        <f>Raw_SRC_V16C_Repeats!N46</f>
        <v>0.2</v>
      </c>
      <c r="Z65" s="15" t="str">
        <f>Raw_SRC_V16C_Repeats!O46</f>
        <v>full</v>
      </c>
      <c r="AA65" s="15" t="str">
        <f>Raw_SRC_V16C_Repeats!P46</f>
        <v>grid_selected_by_val_only_no_test</v>
      </c>
      <c r="AB65" s="15" t="str">
        <f>Raw_SRC_V16C_Repeats!R46</f>
        <v>src_v16c_final_6datasets_repeat_rows.csv</v>
      </c>
      <c r="AC65" s="15">
        <f>Raw_SRC_V16C_Repeats!S46</f>
        <v>6</v>
      </c>
    </row>
    <row r="66" ht="22" customHeight="1" spans="1:29">
      <c r="A66" s="15" t="str">
        <f>Raw_SRC_V16C_Repeats!A47</f>
        <v>texas</v>
      </c>
      <c r="B66" s="15" t="str">
        <f>"SRC-v16c repeat "&amp;Raw_SRC_V16C_Repeats!B47</f>
        <v>SRC-v16c repeat 5</v>
      </c>
      <c r="C66" s="15" t="s">
        <v>2</v>
      </c>
      <c r="D66" s="15"/>
      <c r="E66" s="16"/>
      <c r="F66" s="16"/>
      <c r="G66" s="16"/>
      <c r="H66" s="16"/>
      <c r="I66" s="16"/>
      <c r="J66" s="16"/>
      <c r="K66" s="16"/>
      <c r="L66" s="15">
        <f>Raw_SRC_V16C_Repeats!B47</f>
        <v>5</v>
      </c>
      <c r="M66" s="15">
        <f>Raw_SRC_V16C_Repeats!C47</f>
        <v>20260424</v>
      </c>
      <c r="N66" s="15">
        <f>Raw_SRC_V16C_Repeats!D47</f>
        <v>0</v>
      </c>
      <c r="O66" s="15" t="str">
        <f>Raw_SRC_V16C_Repeats!E47</f>
        <v>random_stratified_matching_fixed_split0_class_counts</v>
      </c>
      <c r="P66" s="16">
        <f>Raw_SRC_V16C_Repeats!F47*100</f>
        <v>100</v>
      </c>
      <c r="Q66" s="16">
        <f>Raw_SRC_V16C_Repeats!G47*100</f>
        <v>86.2068965517241</v>
      </c>
      <c r="R66" s="16">
        <f>Raw_SRC_V16C_Repeats!H47*100</f>
        <v>81.5789473684211</v>
      </c>
      <c r="S66" s="17">
        <f>Raw_SRC_V16C_Repeats!H47</f>
        <v>0.815789473684211</v>
      </c>
      <c r="T66" s="16">
        <f>Raw_SRC_V16C_Repeats!I47*100</f>
        <v>75.1459293394777</v>
      </c>
      <c r="U66" s="15">
        <f>Raw_SRC_V16C_Repeats!J47</f>
        <v>4000</v>
      </c>
      <c r="V66" s="15">
        <f>Raw_SRC_V16C_Repeats!K47</f>
        <v>32</v>
      </c>
      <c r="W66" s="16">
        <f>Raw_SRC_V16C_Repeats!L47</f>
        <v>0.9</v>
      </c>
      <c r="X66" s="15" t="str">
        <f>Raw_SRC_V16C_Repeats!M47</f>
        <v>(0.05, 0.5, 5.0)</v>
      </c>
      <c r="Y66" s="16">
        <f>Raw_SRC_V16C_Repeats!N47</f>
        <v>0.2</v>
      </c>
      <c r="Z66" s="15" t="str">
        <f>Raw_SRC_V16C_Repeats!O47</f>
        <v>full</v>
      </c>
      <c r="AA66" s="15" t="str">
        <f>Raw_SRC_V16C_Repeats!P47</f>
        <v>grid_selected_by_val_only_no_test</v>
      </c>
      <c r="AB66" s="15" t="str">
        <f>Raw_SRC_V16C_Repeats!R47</f>
        <v>src_v16c_final_6datasets_repeat_rows.csv</v>
      </c>
      <c r="AC66" s="15">
        <f>Raw_SRC_V16C_Repeats!S47</f>
        <v>7</v>
      </c>
    </row>
    <row r="67" ht="22" customHeight="1" spans="1:29">
      <c r="A67" s="15" t="str">
        <f>Raw_SRC_V16C_Repeats!A48</f>
        <v>texas</v>
      </c>
      <c r="B67" s="15" t="str">
        <f>"SRC-v16c repeat "&amp;Raw_SRC_V16C_Repeats!B48</f>
        <v>SRC-v16c repeat 6</v>
      </c>
      <c r="C67" s="15" t="s">
        <v>2</v>
      </c>
      <c r="D67" s="15"/>
      <c r="E67" s="16"/>
      <c r="F67" s="16"/>
      <c r="G67" s="16"/>
      <c r="H67" s="16"/>
      <c r="I67" s="16"/>
      <c r="J67" s="16"/>
      <c r="K67" s="16"/>
      <c r="L67" s="15">
        <f>Raw_SRC_V16C_Repeats!B48</f>
        <v>6</v>
      </c>
      <c r="M67" s="15">
        <f>Raw_SRC_V16C_Repeats!C48</f>
        <v>20260425</v>
      </c>
      <c r="N67" s="15">
        <f>Raw_SRC_V16C_Repeats!D48</f>
        <v>0</v>
      </c>
      <c r="O67" s="15" t="str">
        <f>Raw_SRC_V16C_Repeats!E48</f>
        <v>random_stratified_matching_fixed_split0_class_counts</v>
      </c>
      <c r="P67" s="16">
        <f>Raw_SRC_V16C_Repeats!F48*100</f>
        <v>100</v>
      </c>
      <c r="Q67" s="16">
        <f>Raw_SRC_V16C_Repeats!G48*100</f>
        <v>86.2068965517241</v>
      </c>
      <c r="R67" s="16">
        <f>Raw_SRC_V16C_Repeats!H48*100</f>
        <v>89.4736842105263</v>
      </c>
      <c r="S67" s="17">
        <f>Raw_SRC_V16C_Repeats!H48</f>
        <v>0.894736842105263</v>
      </c>
      <c r="T67" s="16">
        <f>Raw_SRC_V16C_Repeats!I48*100</f>
        <v>77.6190476190476</v>
      </c>
      <c r="U67" s="15">
        <f>Raw_SRC_V16C_Repeats!J48</f>
        <v>4000</v>
      </c>
      <c r="V67" s="15">
        <f>Raw_SRC_V16C_Repeats!K48</f>
        <v>32</v>
      </c>
      <c r="W67" s="16">
        <f>Raw_SRC_V16C_Repeats!L48</f>
        <v>0.95</v>
      </c>
      <c r="X67" s="15" t="str">
        <f>Raw_SRC_V16C_Repeats!M48</f>
        <v>(0.01, 0.1, 1.0)</v>
      </c>
      <c r="Y67" s="16">
        <f>Raw_SRC_V16C_Repeats!N48</f>
        <v>0.6</v>
      </c>
      <c r="Z67" s="15" t="str">
        <f>Raw_SRC_V16C_Repeats!O48</f>
        <v>full</v>
      </c>
      <c r="AA67" s="15" t="str">
        <f>Raw_SRC_V16C_Repeats!P48</f>
        <v>grid_selected_by_val_only_no_test</v>
      </c>
      <c r="AB67" s="15" t="str">
        <f>Raw_SRC_V16C_Repeats!R48</f>
        <v>src_v16c_final_6datasets_repeat_rows.csv</v>
      </c>
      <c r="AC67" s="15">
        <f>Raw_SRC_V16C_Repeats!S48</f>
        <v>8</v>
      </c>
    </row>
    <row r="68" ht="22" customHeight="1" spans="1:29">
      <c r="A68" s="15" t="str">
        <f>Raw_SRC_V16C_Repeats!A49</f>
        <v>texas</v>
      </c>
      <c r="B68" s="15" t="str">
        <f>"SRC-v16c repeat "&amp;Raw_SRC_V16C_Repeats!B49</f>
        <v>SRC-v16c repeat 7</v>
      </c>
      <c r="C68" s="15" t="s">
        <v>2</v>
      </c>
      <c r="D68" s="15"/>
      <c r="E68" s="16"/>
      <c r="F68" s="16"/>
      <c r="G68" s="16"/>
      <c r="H68" s="16"/>
      <c r="I68" s="16"/>
      <c r="J68" s="16"/>
      <c r="K68" s="16"/>
      <c r="L68" s="15">
        <f>Raw_SRC_V16C_Repeats!B49</f>
        <v>7</v>
      </c>
      <c r="M68" s="15">
        <f>Raw_SRC_V16C_Repeats!C49</f>
        <v>20260426</v>
      </c>
      <c r="N68" s="15">
        <f>Raw_SRC_V16C_Repeats!D49</f>
        <v>0</v>
      </c>
      <c r="O68" s="15" t="str">
        <f>Raw_SRC_V16C_Repeats!E49</f>
        <v>random_stratified_matching_fixed_split0_class_counts</v>
      </c>
      <c r="P68" s="16">
        <f>Raw_SRC_V16C_Repeats!F49*100</f>
        <v>100</v>
      </c>
      <c r="Q68" s="16">
        <f>Raw_SRC_V16C_Repeats!G49*100</f>
        <v>89.6551724137931</v>
      </c>
      <c r="R68" s="16">
        <f>Raw_SRC_V16C_Repeats!H49*100</f>
        <v>84.2105263157895</v>
      </c>
      <c r="S68" s="17">
        <f>Raw_SRC_V16C_Repeats!H49</f>
        <v>0.842105263157895</v>
      </c>
      <c r="T68" s="16">
        <f>Raw_SRC_V16C_Repeats!I49*100</f>
        <v>82.3809523809524</v>
      </c>
      <c r="U68" s="15">
        <f>Raw_SRC_V16C_Repeats!J49</f>
        <v>5000</v>
      </c>
      <c r="V68" s="15">
        <f>Raw_SRC_V16C_Repeats!K49</f>
        <v>32</v>
      </c>
      <c r="W68" s="16">
        <f>Raw_SRC_V16C_Repeats!L49</f>
        <v>0.9</v>
      </c>
      <c r="X68" s="15" t="str">
        <f>Raw_SRC_V16C_Repeats!M49</f>
        <v>(0.01, 0.1, 1.0)</v>
      </c>
      <c r="Y68" s="16">
        <f>Raw_SRC_V16C_Repeats!N49</f>
        <v>0.2</v>
      </c>
      <c r="Z68" s="15" t="str">
        <f>Raw_SRC_V16C_Repeats!O49</f>
        <v>full</v>
      </c>
      <c r="AA68" s="15" t="str">
        <f>Raw_SRC_V16C_Repeats!P49</f>
        <v>grid_selected_by_val_only_no_test</v>
      </c>
      <c r="AB68" s="15" t="str">
        <f>Raw_SRC_V16C_Repeats!R49</f>
        <v>src_v16c_final_6datasets_repeat_rows.csv</v>
      </c>
      <c r="AC68" s="15">
        <f>Raw_SRC_V16C_Repeats!S49</f>
        <v>9</v>
      </c>
    </row>
    <row r="69" ht="22" customHeight="1" spans="1:29">
      <c r="A69" s="15" t="str">
        <f>Raw_SRC_V16C_Repeats!A50</f>
        <v>texas</v>
      </c>
      <c r="B69" s="15" t="str">
        <f>"SRC-v16c repeat "&amp;Raw_SRC_V16C_Repeats!B50</f>
        <v>SRC-v16c repeat 8</v>
      </c>
      <c r="C69" s="15" t="s">
        <v>2</v>
      </c>
      <c r="D69" s="15"/>
      <c r="E69" s="16"/>
      <c r="F69" s="16"/>
      <c r="G69" s="16"/>
      <c r="H69" s="16"/>
      <c r="I69" s="16"/>
      <c r="J69" s="16"/>
      <c r="K69" s="16"/>
      <c r="L69" s="15">
        <f>Raw_SRC_V16C_Repeats!B50</f>
        <v>8</v>
      </c>
      <c r="M69" s="15">
        <f>Raw_SRC_V16C_Repeats!C50</f>
        <v>20260427</v>
      </c>
      <c r="N69" s="15">
        <f>Raw_SRC_V16C_Repeats!D50</f>
        <v>0</v>
      </c>
      <c r="O69" s="15" t="str">
        <f>Raw_SRC_V16C_Repeats!E50</f>
        <v>random_stratified_matching_fixed_split0_class_counts</v>
      </c>
      <c r="P69" s="16">
        <f>Raw_SRC_V16C_Repeats!F50*100</f>
        <v>100</v>
      </c>
      <c r="Q69" s="16">
        <f>Raw_SRC_V16C_Repeats!G50*100</f>
        <v>91.3793103448276</v>
      </c>
      <c r="R69" s="16">
        <f>Raw_SRC_V16C_Repeats!H50*100</f>
        <v>89.4736842105263</v>
      </c>
      <c r="S69" s="17">
        <f>Raw_SRC_V16C_Repeats!H50</f>
        <v>0.894736842105263</v>
      </c>
      <c r="T69" s="16">
        <f>Raw_SRC_V16C_Repeats!I50*100</f>
        <v>82.6190476190476</v>
      </c>
      <c r="U69" s="15">
        <f>Raw_SRC_V16C_Repeats!J50</f>
        <v>4000</v>
      </c>
      <c r="V69" s="15">
        <f>Raw_SRC_V16C_Repeats!K50</f>
        <v>32</v>
      </c>
      <c r="W69" s="16">
        <f>Raw_SRC_V16C_Repeats!L50</f>
        <v>0.9</v>
      </c>
      <c r="X69" s="15" t="str">
        <f>Raw_SRC_V16C_Repeats!M50</f>
        <v>(0.05, 0.5, 5.0)</v>
      </c>
      <c r="Y69" s="16">
        <f>Raw_SRC_V16C_Repeats!N50</f>
        <v>0.2</v>
      </c>
      <c r="Z69" s="15" t="str">
        <f>Raw_SRC_V16C_Repeats!O50</f>
        <v>full</v>
      </c>
      <c r="AA69" s="15" t="str">
        <f>Raw_SRC_V16C_Repeats!P50</f>
        <v>grid_selected_by_val_only_no_test</v>
      </c>
      <c r="AB69" s="15" t="str">
        <f>Raw_SRC_V16C_Repeats!R50</f>
        <v>src_v16c_final_6datasets_repeat_rows.csv</v>
      </c>
      <c r="AC69" s="15">
        <f>Raw_SRC_V16C_Repeats!S50</f>
        <v>10</v>
      </c>
    </row>
    <row r="70" ht="22" customHeight="1" spans="1:29">
      <c r="A70" s="15" t="str">
        <f>Raw_SRC_V16C_Repeats!A51</f>
        <v>texas</v>
      </c>
      <c r="B70" s="15" t="str">
        <f>"SRC-v16c repeat "&amp;Raw_SRC_V16C_Repeats!B51</f>
        <v>SRC-v16c repeat 9</v>
      </c>
      <c r="C70" s="15" t="s">
        <v>2</v>
      </c>
      <c r="D70" s="15"/>
      <c r="E70" s="16"/>
      <c r="F70" s="16"/>
      <c r="G70" s="16"/>
      <c r="H70" s="16"/>
      <c r="I70" s="16"/>
      <c r="J70" s="16"/>
      <c r="K70" s="16"/>
      <c r="L70" s="15">
        <f>Raw_SRC_V16C_Repeats!B51</f>
        <v>9</v>
      </c>
      <c r="M70" s="15">
        <f>Raw_SRC_V16C_Repeats!C51</f>
        <v>20260428</v>
      </c>
      <c r="N70" s="15">
        <f>Raw_SRC_V16C_Repeats!D51</f>
        <v>0</v>
      </c>
      <c r="O70" s="15" t="str">
        <f>Raw_SRC_V16C_Repeats!E51</f>
        <v>random_stratified_matching_fixed_split0_class_counts</v>
      </c>
      <c r="P70" s="16">
        <f>Raw_SRC_V16C_Repeats!F51*100</f>
        <v>100</v>
      </c>
      <c r="Q70" s="16">
        <f>Raw_SRC_V16C_Repeats!G51*100</f>
        <v>86.2068965517241</v>
      </c>
      <c r="R70" s="16">
        <f>Raw_SRC_V16C_Repeats!H51*100</f>
        <v>92.1052631578947</v>
      </c>
      <c r="S70" s="17">
        <f>Raw_SRC_V16C_Repeats!H51</f>
        <v>0.921052631578947</v>
      </c>
      <c r="T70" s="16">
        <f>Raw_SRC_V16C_Repeats!I51*100</f>
        <v>76.5745007680491</v>
      </c>
      <c r="U70" s="15">
        <f>Raw_SRC_V16C_Repeats!J51</f>
        <v>4000</v>
      </c>
      <c r="V70" s="15">
        <f>Raw_SRC_V16C_Repeats!K51</f>
        <v>32</v>
      </c>
      <c r="W70" s="16">
        <f>Raw_SRC_V16C_Repeats!L51</f>
        <v>0.99</v>
      </c>
      <c r="X70" s="15" t="str">
        <f>Raw_SRC_V16C_Repeats!M51</f>
        <v>(0.01, 0.1, 1.0)</v>
      </c>
      <c r="Y70" s="16">
        <f>Raw_SRC_V16C_Repeats!N51</f>
        <v>0.2</v>
      </c>
      <c r="Z70" s="15" t="str">
        <f>Raw_SRC_V16C_Repeats!O51</f>
        <v>full</v>
      </c>
      <c r="AA70" s="15" t="str">
        <f>Raw_SRC_V16C_Repeats!P51</f>
        <v>grid_selected_by_val_only_no_test</v>
      </c>
      <c r="AB70" s="15" t="str">
        <f>Raw_SRC_V16C_Repeats!R51</f>
        <v>src_v16c_final_6datasets_repeat_rows.csv</v>
      </c>
      <c r="AC70" s="15">
        <f>Raw_SRC_V16C_Repeats!S51</f>
        <v>11</v>
      </c>
    </row>
    <row r="71" ht="22" customHeight="1" spans="1:29">
      <c r="A71" s="2"/>
      <c r="B71" s="2"/>
      <c r="C71" s="2"/>
      <c r="D71" s="2"/>
      <c r="E71" s="18"/>
      <c r="F71" s="18"/>
      <c r="G71" s="18"/>
      <c r="H71" s="18"/>
      <c r="I71" s="18"/>
      <c r="J71" s="18"/>
      <c r="K71" s="18"/>
      <c r="L71" s="2"/>
      <c r="M71" s="2"/>
      <c r="N71" s="2"/>
      <c r="O71" s="2"/>
      <c r="P71" s="18"/>
      <c r="Q71" s="18"/>
      <c r="R71" s="18"/>
      <c r="S71" s="19"/>
      <c r="T71" s="18"/>
      <c r="U71" s="2"/>
      <c r="V71" s="2"/>
      <c r="W71" s="18"/>
      <c r="X71" s="2"/>
      <c r="Y71" s="18"/>
      <c r="Z71" s="2"/>
      <c r="AA71" s="2"/>
      <c r="AB71" s="2"/>
      <c r="AC71" s="2"/>
    </row>
    <row r="72" ht="22" customHeight="1" spans="1:29">
      <c r="A72" s="6" t="s">
        <v>132</v>
      </c>
    </row>
    <row r="73" ht="22" customHeight="1" spans="1:29">
      <c r="A73" s="7" t="s">
        <v>56</v>
      </c>
      <c r="B73" s="7" t="s">
        <v>115</v>
      </c>
      <c r="C73" s="7" t="s">
        <v>75</v>
      </c>
      <c r="D73" s="8">
        <f>COUNT(Raw_Strongest_Baseline_Repeats!H52:H61)</f>
        <v>10</v>
      </c>
      <c r="E73" s="9">
        <f>AVERAGE(Raw_Strongest_Baseline_Repeats!F52:F61)*100</f>
        <v>97.8333342075348</v>
      </c>
      <c r="F73" s="9">
        <f>_xlfn.STDEV.S(Raw_Strongest_Baseline_Repeats!F52:F61)*100</f>
        <v>4.58459512122937</v>
      </c>
      <c r="G73" s="9">
        <f>AVERAGE(Raw_Strongest_Baseline_Repeats!G52:G61)*100</f>
        <v>82.1249997615814</v>
      </c>
      <c r="H73" s="9">
        <f>_xlfn.STDEV.S(Raw_Strongest_Baseline_Repeats!G52:G61)*100</f>
        <v>4.12689263822618</v>
      </c>
      <c r="I73" s="9">
        <f>AVERAGE(Raw_Strongest_Baseline_Repeats!H52:H61)*100</f>
        <v>81.9607853889465</v>
      </c>
      <c r="J73" s="9">
        <f>_xlfn.STDEV.S(Raw_Strongest_Baseline_Repeats!H52:H61)*100</f>
        <v>3.17515217714908</v>
      </c>
      <c r="K73" s="9" t="s">
        <v>41</v>
      </c>
      <c r="L73" s="8"/>
      <c r="M73" s="8"/>
      <c r="N73" s="8"/>
      <c r="O73" s="8"/>
      <c r="P73" s="9"/>
      <c r="Q73" s="9"/>
      <c r="R73" s="9"/>
      <c r="S73" s="10"/>
      <c r="T73" s="9"/>
      <c r="U73" s="8"/>
      <c r="V73" s="8"/>
      <c r="W73" s="9"/>
      <c r="X73" s="8"/>
      <c r="Y73" s="9"/>
      <c r="Z73" s="8"/>
      <c r="AA73" s="8"/>
      <c r="AB73" s="8" t="s">
        <v>63</v>
      </c>
      <c r="AC73" s="8" t="s">
        <v>133</v>
      </c>
    </row>
    <row r="74" ht="22" customHeight="1" spans="1:29">
      <c r="A74" s="11" t="s">
        <v>56</v>
      </c>
      <c r="B74" s="11" t="s">
        <v>117</v>
      </c>
      <c r="C74" s="11" t="s">
        <v>2</v>
      </c>
      <c r="D74" s="12">
        <f>COUNT(Raw_SRC_V16C_Repeats!H52:H61)</f>
        <v>10</v>
      </c>
      <c r="E74" s="13">
        <f>AVERAGE(Raw_SRC_V16C_Repeats!F52:F61)*100</f>
        <v>100</v>
      </c>
      <c r="F74" s="13">
        <f>_xlfn.STDEV.S(Raw_SRC_V16C_Repeats!F52:F61)*100</f>
        <v>0</v>
      </c>
      <c r="G74" s="13">
        <f>AVERAGE(Raw_SRC_V16C_Repeats!G52:G61)*100</f>
        <v>85.25</v>
      </c>
      <c r="H74" s="13">
        <f>_xlfn.STDEV.S(Raw_SRC_V16C_Repeats!G52:G61)*100</f>
        <v>1.53659074288215</v>
      </c>
      <c r="I74" s="13">
        <f>AVERAGE(Raw_SRC_V16C_Repeats!H52:H61)*100</f>
        <v>84.3137254901961</v>
      </c>
      <c r="J74" s="13">
        <f>_xlfn.STDEV.S(Raw_SRC_V16C_Repeats!H52:H61)*100</f>
        <v>4.23577823425351</v>
      </c>
      <c r="K74" s="13">
        <f>I74-I73</f>
        <v>2.35294010124954</v>
      </c>
      <c r="L74" s="12"/>
      <c r="M74" s="12"/>
      <c r="N74" s="12"/>
      <c r="O74" s="12"/>
      <c r="P74" s="13"/>
      <c r="Q74" s="13"/>
      <c r="R74" s="13"/>
      <c r="S74" s="14"/>
      <c r="T74" s="13"/>
      <c r="U74" s="12"/>
      <c r="V74" s="12"/>
      <c r="W74" s="13"/>
      <c r="X74" s="12"/>
      <c r="Y74" s="13"/>
      <c r="Z74" s="12"/>
      <c r="AA74" s="12"/>
      <c r="AB74" s="12" t="s">
        <v>118</v>
      </c>
      <c r="AC74" s="12" t="s">
        <v>134</v>
      </c>
    </row>
    <row r="75" ht="22" customHeight="1" spans="1:29">
      <c r="A75" s="15" t="str">
        <f>Raw_SRC_V16C_Repeats!A52</f>
        <v>wisconsin</v>
      </c>
      <c r="B75" s="15" t="str">
        <f>"SRC-v16c repeat "&amp;Raw_SRC_V16C_Repeats!B52</f>
        <v>SRC-v16c repeat 0</v>
      </c>
      <c r="C75" s="15" t="s">
        <v>2</v>
      </c>
      <c r="D75" s="15"/>
      <c r="E75" s="16"/>
      <c r="F75" s="16"/>
      <c r="G75" s="16"/>
      <c r="H75" s="16"/>
      <c r="I75" s="16"/>
      <c r="J75" s="16"/>
      <c r="K75" s="16"/>
      <c r="L75" s="15">
        <f>Raw_SRC_V16C_Repeats!B52</f>
        <v>0</v>
      </c>
      <c r="M75" s="15">
        <f>Raw_SRC_V16C_Repeats!C52</f>
        <v>20260419</v>
      </c>
      <c r="N75" s="15">
        <f>Raw_SRC_V16C_Repeats!D52</f>
        <v>0</v>
      </c>
      <c r="O75" s="15" t="str">
        <f>Raw_SRC_V16C_Repeats!E52</f>
        <v>random_stratified_matching_fixed_split0_class_counts</v>
      </c>
      <c r="P75" s="16">
        <f>Raw_SRC_V16C_Repeats!F52*100</f>
        <v>100</v>
      </c>
      <c r="Q75" s="16">
        <f>Raw_SRC_V16C_Repeats!G52*100</f>
        <v>86.25</v>
      </c>
      <c r="R75" s="16">
        <f>Raw_SRC_V16C_Repeats!H52*100</f>
        <v>90.1960784313726</v>
      </c>
      <c r="S75" s="17">
        <f>Raw_SRC_V16C_Repeats!H52</f>
        <v>0.901960784313726</v>
      </c>
      <c r="T75" s="16">
        <f>Raw_SRC_V16C_Repeats!I52*100</f>
        <v>67.0836236933798</v>
      </c>
      <c r="U75" s="15">
        <f>Raw_SRC_V16C_Repeats!J52</f>
        <v>4000</v>
      </c>
      <c r="V75" s="15">
        <f>Raw_SRC_V16C_Repeats!K52</f>
        <v>32</v>
      </c>
      <c r="W75" s="16">
        <f>Raw_SRC_V16C_Repeats!L52</f>
        <v>0.9</v>
      </c>
      <c r="X75" s="15" t="str">
        <f>Raw_SRC_V16C_Repeats!M52</f>
        <v>(0.05, 0.5, 5.0)</v>
      </c>
      <c r="Y75" s="16">
        <f>Raw_SRC_V16C_Repeats!N52</f>
        <v>0.2</v>
      </c>
      <c r="Z75" s="15" t="str">
        <f>Raw_SRC_V16C_Repeats!O52</f>
        <v>full</v>
      </c>
      <c r="AA75" s="15" t="str">
        <f>Raw_SRC_V16C_Repeats!P52</f>
        <v>grid_selected_by_val_only_no_test</v>
      </c>
      <c r="AB75" s="15" t="str">
        <f>Raw_SRC_V16C_Repeats!R52</f>
        <v>src_v16c_final_6datasets_repeat_rows.csv</v>
      </c>
      <c r="AC75" s="15">
        <f>Raw_SRC_V16C_Repeats!S52</f>
        <v>22</v>
      </c>
    </row>
    <row r="76" ht="22" customHeight="1" spans="1:29">
      <c r="A76" s="15" t="str">
        <f>Raw_SRC_V16C_Repeats!A53</f>
        <v>wisconsin</v>
      </c>
      <c r="B76" s="15" t="str">
        <f>"SRC-v16c repeat "&amp;Raw_SRC_V16C_Repeats!B53</f>
        <v>SRC-v16c repeat 1</v>
      </c>
      <c r="C76" s="15" t="s">
        <v>2</v>
      </c>
      <c r="D76" s="15"/>
      <c r="E76" s="16"/>
      <c r="F76" s="16"/>
      <c r="G76" s="16"/>
      <c r="H76" s="16"/>
      <c r="I76" s="16"/>
      <c r="J76" s="16"/>
      <c r="K76" s="16"/>
      <c r="L76" s="15">
        <f>Raw_SRC_V16C_Repeats!B53</f>
        <v>1</v>
      </c>
      <c r="M76" s="15">
        <f>Raw_SRC_V16C_Repeats!C53</f>
        <v>20260420</v>
      </c>
      <c r="N76" s="15">
        <f>Raw_SRC_V16C_Repeats!D53</f>
        <v>0</v>
      </c>
      <c r="O76" s="15" t="str">
        <f>Raw_SRC_V16C_Repeats!E53</f>
        <v>random_stratified_matching_fixed_split0_class_counts</v>
      </c>
      <c r="P76" s="16">
        <f>Raw_SRC_V16C_Repeats!F53*100</f>
        <v>100</v>
      </c>
      <c r="Q76" s="16">
        <f>Raw_SRC_V16C_Repeats!G53*100</f>
        <v>86.25</v>
      </c>
      <c r="R76" s="16">
        <f>Raw_SRC_V16C_Repeats!H53*100</f>
        <v>86.2745098039216</v>
      </c>
      <c r="S76" s="17">
        <f>Raw_SRC_V16C_Repeats!H53</f>
        <v>0.862745098039216</v>
      </c>
      <c r="T76" s="16">
        <f>Raw_SRC_V16C_Repeats!I53*100</f>
        <v>68.2264808362369</v>
      </c>
      <c r="U76" s="15">
        <f>Raw_SRC_V16C_Repeats!J53</f>
        <v>4000</v>
      </c>
      <c r="V76" s="15">
        <f>Raw_SRC_V16C_Repeats!K53</f>
        <v>32</v>
      </c>
      <c r="W76" s="16">
        <f>Raw_SRC_V16C_Repeats!L53</f>
        <v>0.9</v>
      </c>
      <c r="X76" s="15" t="str">
        <f>Raw_SRC_V16C_Repeats!M53</f>
        <v>(0.05, 0.5, 5.0)</v>
      </c>
      <c r="Y76" s="16">
        <f>Raw_SRC_V16C_Repeats!N53</f>
        <v>0.2</v>
      </c>
      <c r="Z76" s="15" t="str">
        <f>Raw_SRC_V16C_Repeats!O53</f>
        <v>full</v>
      </c>
      <c r="AA76" s="15" t="str">
        <f>Raw_SRC_V16C_Repeats!P53</f>
        <v>grid_selected_by_val_only_no_test</v>
      </c>
      <c r="AB76" s="15" t="str">
        <f>Raw_SRC_V16C_Repeats!R53</f>
        <v>src_v16c_final_6datasets_repeat_rows.csv</v>
      </c>
      <c r="AC76" s="15">
        <f>Raw_SRC_V16C_Repeats!S53</f>
        <v>23</v>
      </c>
    </row>
    <row r="77" ht="22" customHeight="1" spans="1:29">
      <c r="A77" s="15" t="str">
        <f>Raw_SRC_V16C_Repeats!A54</f>
        <v>wisconsin</v>
      </c>
      <c r="B77" s="15" t="str">
        <f>"SRC-v16c repeat "&amp;Raw_SRC_V16C_Repeats!B54</f>
        <v>SRC-v16c repeat 2</v>
      </c>
      <c r="C77" s="15" t="s">
        <v>2</v>
      </c>
      <c r="D77" s="15"/>
      <c r="E77" s="16"/>
      <c r="F77" s="16"/>
      <c r="G77" s="16"/>
      <c r="H77" s="16"/>
      <c r="I77" s="16"/>
      <c r="J77" s="16"/>
      <c r="K77" s="16"/>
      <c r="L77" s="15">
        <f>Raw_SRC_V16C_Repeats!B54</f>
        <v>2</v>
      </c>
      <c r="M77" s="15">
        <f>Raw_SRC_V16C_Repeats!C54</f>
        <v>20260421</v>
      </c>
      <c r="N77" s="15">
        <f>Raw_SRC_V16C_Repeats!D54</f>
        <v>0</v>
      </c>
      <c r="O77" s="15" t="str">
        <f>Raw_SRC_V16C_Repeats!E54</f>
        <v>random_stratified_matching_fixed_split0_class_counts</v>
      </c>
      <c r="P77" s="16">
        <f>Raw_SRC_V16C_Repeats!F54*100</f>
        <v>100</v>
      </c>
      <c r="Q77" s="16">
        <f>Raw_SRC_V16C_Repeats!G54*100</f>
        <v>86.25</v>
      </c>
      <c r="R77" s="16">
        <f>Raw_SRC_V16C_Repeats!H54*100</f>
        <v>84.3137254901961</v>
      </c>
      <c r="S77" s="17">
        <f>Raw_SRC_V16C_Repeats!H54</f>
        <v>0.843137254901961</v>
      </c>
      <c r="T77" s="16">
        <f>Raw_SRC_V16C_Repeats!I54*100</f>
        <v>68.2264808362369</v>
      </c>
      <c r="U77" s="15">
        <f>Raw_SRC_V16C_Repeats!J54</f>
        <v>5000</v>
      </c>
      <c r="V77" s="15">
        <f>Raw_SRC_V16C_Repeats!K54</f>
        <v>32</v>
      </c>
      <c r="W77" s="16">
        <f>Raw_SRC_V16C_Repeats!L54</f>
        <v>0.95</v>
      </c>
      <c r="X77" s="15" t="str">
        <f>Raw_SRC_V16C_Repeats!M54</f>
        <v>(0.05, 0.5, 5.0)</v>
      </c>
      <c r="Y77" s="16">
        <f>Raw_SRC_V16C_Repeats!N54</f>
        <v>0.4</v>
      </c>
      <c r="Z77" s="15" t="str">
        <f>Raw_SRC_V16C_Repeats!O54</f>
        <v>full</v>
      </c>
      <c r="AA77" s="15" t="str">
        <f>Raw_SRC_V16C_Repeats!P54</f>
        <v>grid_selected_by_val_only_no_test</v>
      </c>
      <c r="AB77" s="15" t="str">
        <f>Raw_SRC_V16C_Repeats!R54</f>
        <v>src_v16c_final_6datasets_repeat_rows.csv</v>
      </c>
      <c r="AC77" s="15">
        <f>Raw_SRC_V16C_Repeats!S54</f>
        <v>24</v>
      </c>
    </row>
    <row r="78" ht="22" customHeight="1" spans="1:29">
      <c r="A78" s="15" t="str">
        <f>Raw_SRC_V16C_Repeats!A55</f>
        <v>wisconsin</v>
      </c>
      <c r="B78" s="15" t="str">
        <f>"SRC-v16c repeat "&amp;Raw_SRC_V16C_Repeats!B55</f>
        <v>SRC-v16c repeat 3</v>
      </c>
      <c r="C78" s="15" t="s">
        <v>2</v>
      </c>
      <c r="D78" s="15"/>
      <c r="E78" s="16"/>
      <c r="F78" s="16"/>
      <c r="G78" s="16"/>
      <c r="H78" s="16"/>
      <c r="I78" s="16"/>
      <c r="J78" s="16"/>
      <c r="K78" s="16"/>
      <c r="L78" s="15">
        <f>Raw_SRC_V16C_Repeats!B55</f>
        <v>3</v>
      </c>
      <c r="M78" s="15">
        <f>Raw_SRC_V16C_Repeats!C55</f>
        <v>20260422</v>
      </c>
      <c r="N78" s="15">
        <f>Raw_SRC_V16C_Repeats!D55</f>
        <v>0</v>
      </c>
      <c r="O78" s="15" t="str">
        <f>Raw_SRC_V16C_Repeats!E55</f>
        <v>random_stratified_matching_fixed_split0_class_counts</v>
      </c>
      <c r="P78" s="16">
        <f>Raw_SRC_V16C_Repeats!F55*100</f>
        <v>100</v>
      </c>
      <c r="Q78" s="16">
        <f>Raw_SRC_V16C_Repeats!G55*100</f>
        <v>86.25</v>
      </c>
      <c r="R78" s="16">
        <f>Raw_SRC_V16C_Repeats!H55*100</f>
        <v>86.2745098039216</v>
      </c>
      <c r="S78" s="17">
        <f>Raw_SRC_V16C_Repeats!H55</f>
        <v>0.862745098039216</v>
      </c>
      <c r="T78" s="16">
        <f>Raw_SRC_V16C_Repeats!I55*100</f>
        <v>67.0836236933798</v>
      </c>
      <c r="U78" s="15">
        <f>Raw_SRC_V16C_Repeats!J55</f>
        <v>4000</v>
      </c>
      <c r="V78" s="15">
        <f>Raw_SRC_V16C_Repeats!K55</f>
        <v>32</v>
      </c>
      <c r="W78" s="16">
        <f>Raw_SRC_V16C_Repeats!L55</f>
        <v>0.9</v>
      </c>
      <c r="X78" s="15" t="str">
        <f>Raw_SRC_V16C_Repeats!M55</f>
        <v>(0.1, 1.0, 10.0)</v>
      </c>
      <c r="Y78" s="16">
        <f>Raw_SRC_V16C_Repeats!N55</f>
        <v>0.6</v>
      </c>
      <c r="Z78" s="15" t="str">
        <f>Raw_SRC_V16C_Repeats!O55</f>
        <v>full</v>
      </c>
      <c r="AA78" s="15" t="str">
        <f>Raw_SRC_V16C_Repeats!P55</f>
        <v>grid_selected_by_val_only_no_test</v>
      </c>
      <c r="AB78" s="15" t="str">
        <f>Raw_SRC_V16C_Repeats!R55</f>
        <v>src_v16c_final_6datasets_repeat_rows.csv</v>
      </c>
      <c r="AC78" s="15">
        <f>Raw_SRC_V16C_Repeats!S55</f>
        <v>25</v>
      </c>
    </row>
    <row r="79" ht="22" customHeight="1" spans="1:29">
      <c r="A79" s="15" t="str">
        <f>Raw_SRC_V16C_Repeats!A56</f>
        <v>wisconsin</v>
      </c>
      <c r="B79" s="15" t="str">
        <f>"SRC-v16c repeat "&amp;Raw_SRC_V16C_Repeats!B56</f>
        <v>SRC-v16c repeat 4</v>
      </c>
      <c r="C79" s="15" t="s">
        <v>2</v>
      </c>
      <c r="D79" s="15"/>
      <c r="E79" s="16"/>
      <c r="F79" s="16"/>
      <c r="G79" s="16"/>
      <c r="H79" s="16"/>
      <c r="I79" s="16"/>
      <c r="J79" s="16"/>
      <c r="K79" s="16"/>
      <c r="L79" s="15">
        <f>Raw_SRC_V16C_Repeats!B56</f>
        <v>4</v>
      </c>
      <c r="M79" s="15">
        <f>Raw_SRC_V16C_Repeats!C56</f>
        <v>20260423</v>
      </c>
      <c r="N79" s="15">
        <f>Raw_SRC_V16C_Repeats!D56</f>
        <v>0</v>
      </c>
      <c r="O79" s="15" t="str">
        <f>Raw_SRC_V16C_Repeats!E56</f>
        <v>random_stratified_matching_fixed_split0_class_counts</v>
      </c>
      <c r="P79" s="16">
        <f>Raw_SRC_V16C_Repeats!F56*100</f>
        <v>100</v>
      </c>
      <c r="Q79" s="16">
        <f>Raw_SRC_V16C_Repeats!G56*100</f>
        <v>87.5</v>
      </c>
      <c r="R79" s="16">
        <f>Raw_SRC_V16C_Repeats!H56*100</f>
        <v>88.2352941176471</v>
      </c>
      <c r="S79" s="17">
        <f>Raw_SRC_V16C_Repeats!H56</f>
        <v>0.882352941176471</v>
      </c>
      <c r="T79" s="16">
        <f>Raw_SRC_V16C_Repeats!I56*100</f>
        <v>69.2264808362369</v>
      </c>
      <c r="U79" s="15">
        <f>Raw_SRC_V16C_Repeats!J56</f>
        <v>5000</v>
      </c>
      <c r="V79" s="15">
        <f>Raw_SRC_V16C_Repeats!K56</f>
        <v>32</v>
      </c>
      <c r="W79" s="16">
        <f>Raw_SRC_V16C_Repeats!L56</f>
        <v>0.9</v>
      </c>
      <c r="X79" s="15" t="str">
        <f>Raw_SRC_V16C_Repeats!M56</f>
        <v>(0.01, 0.1, 1.0)</v>
      </c>
      <c r="Y79" s="16">
        <f>Raw_SRC_V16C_Repeats!N56</f>
        <v>0.2</v>
      </c>
      <c r="Z79" s="15" t="str">
        <f>Raw_SRC_V16C_Repeats!O56</f>
        <v>full</v>
      </c>
      <c r="AA79" s="15" t="str">
        <f>Raw_SRC_V16C_Repeats!P56</f>
        <v>grid_selected_by_val_only_no_test</v>
      </c>
      <c r="AB79" s="15" t="str">
        <f>Raw_SRC_V16C_Repeats!R56</f>
        <v>src_v16c_final_6datasets_repeat_rows.csv</v>
      </c>
      <c r="AC79" s="15">
        <f>Raw_SRC_V16C_Repeats!S56</f>
        <v>26</v>
      </c>
    </row>
    <row r="80" ht="22" customHeight="1" spans="1:29">
      <c r="A80" s="15" t="str">
        <f>Raw_SRC_V16C_Repeats!A57</f>
        <v>wisconsin</v>
      </c>
      <c r="B80" s="15" t="str">
        <f>"SRC-v16c repeat "&amp;Raw_SRC_V16C_Repeats!B57</f>
        <v>SRC-v16c repeat 5</v>
      </c>
      <c r="C80" s="15" t="s">
        <v>2</v>
      </c>
      <c r="D80" s="15"/>
      <c r="E80" s="16"/>
      <c r="F80" s="16"/>
      <c r="G80" s="16"/>
      <c r="H80" s="16"/>
      <c r="I80" s="16"/>
      <c r="J80" s="16"/>
      <c r="K80" s="16"/>
      <c r="L80" s="15">
        <f>Raw_SRC_V16C_Repeats!B57</f>
        <v>5</v>
      </c>
      <c r="M80" s="15">
        <f>Raw_SRC_V16C_Repeats!C57</f>
        <v>20260424</v>
      </c>
      <c r="N80" s="15">
        <f>Raw_SRC_V16C_Repeats!D57</f>
        <v>0</v>
      </c>
      <c r="O80" s="15" t="str">
        <f>Raw_SRC_V16C_Repeats!E57</f>
        <v>random_stratified_matching_fixed_split0_class_counts</v>
      </c>
      <c r="P80" s="16">
        <f>Raw_SRC_V16C_Repeats!F57*100</f>
        <v>100</v>
      </c>
      <c r="Q80" s="16">
        <f>Raw_SRC_V16C_Repeats!G57*100</f>
        <v>85</v>
      </c>
      <c r="R80" s="16">
        <f>Raw_SRC_V16C_Repeats!H57*100</f>
        <v>86.2745098039216</v>
      </c>
      <c r="S80" s="17">
        <f>Raw_SRC_V16C_Repeats!H57</f>
        <v>0.862745098039216</v>
      </c>
      <c r="T80" s="16">
        <f>Raw_SRC_V16C_Repeats!I57*100</f>
        <v>63.5121951219512</v>
      </c>
      <c r="U80" s="15">
        <f>Raw_SRC_V16C_Repeats!J57</f>
        <v>6000</v>
      </c>
      <c r="V80" s="15">
        <f>Raw_SRC_V16C_Repeats!K57</f>
        <v>32</v>
      </c>
      <c r="W80" s="16">
        <f>Raw_SRC_V16C_Repeats!L57</f>
        <v>0.9</v>
      </c>
      <c r="X80" s="15" t="str">
        <f>Raw_SRC_V16C_Repeats!M57</f>
        <v>(0.01, 0.1, 1.0)</v>
      </c>
      <c r="Y80" s="16">
        <f>Raw_SRC_V16C_Repeats!N57</f>
        <v>0.2</v>
      </c>
      <c r="Z80" s="15" t="str">
        <f>Raw_SRC_V16C_Repeats!O57</f>
        <v>full</v>
      </c>
      <c r="AA80" s="15" t="str">
        <f>Raw_SRC_V16C_Repeats!P57</f>
        <v>grid_selected_by_val_only_no_test</v>
      </c>
      <c r="AB80" s="15" t="str">
        <f>Raw_SRC_V16C_Repeats!R57</f>
        <v>src_v16c_final_6datasets_repeat_rows.csv</v>
      </c>
      <c r="AC80" s="15">
        <f>Raw_SRC_V16C_Repeats!S57</f>
        <v>27</v>
      </c>
    </row>
    <row r="81" ht="22" customHeight="1" spans="1:29">
      <c r="A81" s="15" t="str">
        <f>Raw_SRC_V16C_Repeats!A58</f>
        <v>wisconsin</v>
      </c>
      <c r="B81" s="15" t="str">
        <f>"SRC-v16c repeat "&amp;Raw_SRC_V16C_Repeats!B58</f>
        <v>SRC-v16c repeat 6</v>
      </c>
      <c r="C81" s="15" t="s">
        <v>2</v>
      </c>
      <c r="D81" s="15"/>
      <c r="E81" s="16"/>
      <c r="F81" s="16"/>
      <c r="G81" s="16"/>
      <c r="H81" s="16"/>
      <c r="I81" s="16"/>
      <c r="J81" s="16"/>
      <c r="K81" s="16"/>
      <c r="L81" s="15">
        <f>Raw_SRC_V16C_Repeats!B58</f>
        <v>6</v>
      </c>
      <c r="M81" s="15">
        <f>Raw_SRC_V16C_Repeats!C58</f>
        <v>20260425</v>
      </c>
      <c r="N81" s="15">
        <f>Raw_SRC_V16C_Repeats!D58</f>
        <v>0</v>
      </c>
      <c r="O81" s="15" t="str">
        <f>Raw_SRC_V16C_Repeats!E58</f>
        <v>random_stratified_matching_fixed_split0_class_counts</v>
      </c>
      <c r="P81" s="16">
        <f>Raw_SRC_V16C_Repeats!F58*100</f>
        <v>100</v>
      </c>
      <c r="Q81" s="16">
        <f>Raw_SRC_V16C_Repeats!G58*100</f>
        <v>82.5</v>
      </c>
      <c r="R81" s="16">
        <f>Raw_SRC_V16C_Repeats!H58*100</f>
        <v>84.3137254901961</v>
      </c>
      <c r="S81" s="17">
        <f>Raw_SRC_V16C_Repeats!H58</f>
        <v>0.843137254901961</v>
      </c>
      <c r="T81" s="16">
        <f>Raw_SRC_V16C_Repeats!I58*100</f>
        <v>65.0243902439024</v>
      </c>
      <c r="U81" s="15">
        <f>Raw_SRC_V16C_Repeats!J58</f>
        <v>4000</v>
      </c>
      <c r="V81" s="15">
        <f>Raw_SRC_V16C_Repeats!K58</f>
        <v>32</v>
      </c>
      <c r="W81" s="16">
        <f>Raw_SRC_V16C_Repeats!L58</f>
        <v>0.9</v>
      </c>
      <c r="X81" s="15" t="str">
        <f>Raw_SRC_V16C_Repeats!M58</f>
        <v>(0.05, 0.5, 5.0)</v>
      </c>
      <c r="Y81" s="16">
        <f>Raw_SRC_V16C_Repeats!N58</f>
        <v>0.2</v>
      </c>
      <c r="Z81" s="15" t="str">
        <f>Raw_SRC_V16C_Repeats!O58</f>
        <v>full</v>
      </c>
      <c r="AA81" s="15" t="str">
        <f>Raw_SRC_V16C_Repeats!P58</f>
        <v>grid_selected_by_val_only_no_test</v>
      </c>
      <c r="AB81" s="15" t="str">
        <f>Raw_SRC_V16C_Repeats!R58</f>
        <v>src_v16c_final_6datasets_repeat_rows.csv</v>
      </c>
      <c r="AC81" s="15">
        <f>Raw_SRC_V16C_Repeats!S58</f>
        <v>28</v>
      </c>
    </row>
    <row r="82" ht="22" customHeight="1" spans="1:29">
      <c r="A82" s="15" t="str">
        <f>Raw_SRC_V16C_Repeats!A59</f>
        <v>wisconsin</v>
      </c>
      <c r="B82" s="15" t="str">
        <f>"SRC-v16c repeat "&amp;Raw_SRC_V16C_Repeats!B59</f>
        <v>SRC-v16c repeat 7</v>
      </c>
      <c r="C82" s="15" t="s">
        <v>2</v>
      </c>
      <c r="D82" s="15"/>
      <c r="E82" s="16"/>
      <c r="F82" s="16"/>
      <c r="G82" s="16"/>
      <c r="H82" s="16"/>
      <c r="I82" s="16"/>
      <c r="J82" s="16"/>
      <c r="K82" s="16"/>
      <c r="L82" s="15">
        <f>Raw_SRC_V16C_Repeats!B59</f>
        <v>7</v>
      </c>
      <c r="M82" s="15">
        <f>Raw_SRC_V16C_Repeats!C59</f>
        <v>20260426</v>
      </c>
      <c r="N82" s="15">
        <f>Raw_SRC_V16C_Repeats!D59</f>
        <v>0</v>
      </c>
      <c r="O82" s="15" t="str">
        <f>Raw_SRC_V16C_Repeats!E59</f>
        <v>random_stratified_matching_fixed_split0_class_counts</v>
      </c>
      <c r="P82" s="16">
        <f>Raw_SRC_V16C_Repeats!F59*100</f>
        <v>100</v>
      </c>
      <c r="Q82" s="16">
        <f>Raw_SRC_V16C_Repeats!G59*100</f>
        <v>83.75</v>
      </c>
      <c r="R82" s="16">
        <f>Raw_SRC_V16C_Repeats!H59*100</f>
        <v>78.4313725490196</v>
      </c>
      <c r="S82" s="17">
        <f>Raw_SRC_V16C_Repeats!H59</f>
        <v>0.784313725490196</v>
      </c>
      <c r="T82" s="16">
        <f>Raw_SRC_V16C_Repeats!I59*100</f>
        <v>68.4773519163763</v>
      </c>
      <c r="U82" s="15">
        <f>Raw_SRC_V16C_Repeats!J59</f>
        <v>4000</v>
      </c>
      <c r="V82" s="15">
        <f>Raw_SRC_V16C_Repeats!K59</f>
        <v>32</v>
      </c>
      <c r="W82" s="16">
        <f>Raw_SRC_V16C_Repeats!L59</f>
        <v>0.9</v>
      </c>
      <c r="X82" s="15" t="str">
        <f>Raw_SRC_V16C_Repeats!M59</f>
        <v>(0.01, 0.1, 1.0)</v>
      </c>
      <c r="Y82" s="16">
        <f>Raw_SRC_V16C_Repeats!N59</f>
        <v>0.2</v>
      </c>
      <c r="Z82" s="15" t="str">
        <f>Raw_SRC_V16C_Repeats!O59</f>
        <v>full</v>
      </c>
      <c r="AA82" s="15" t="str">
        <f>Raw_SRC_V16C_Repeats!P59</f>
        <v>grid_selected_by_val_only_no_test</v>
      </c>
      <c r="AB82" s="15" t="str">
        <f>Raw_SRC_V16C_Repeats!R59</f>
        <v>src_v16c_final_6datasets_repeat_rows.csv</v>
      </c>
      <c r="AC82" s="15">
        <f>Raw_SRC_V16C_Repeats!S59</f>
        <v>29</v>
      </c>
    </row>
    <row r="83" ht="22" customHeight="1" spans="1:29">
      <c r="A83" s="15" t="str">
        <f>Raw_SRC_V16C_Repeats!A60</f>
        <v>wisconsin</v>
      </c>
      <c r="B83" s="15" t="str">
        <f>"SRC-v16c repeat "&amp;Raw_SRC_V16C_Repeats!B60</f>
        <v>SRC-v16c repeat 8</v>
      </c>
      <c r="C83" s="15" t="s">
        <v>2</v>
      </c>
      <c r="D83" s="15"/>
      <c r="E83" s="16"/>
      <c r="F83" s="16"/>
      <c r="G83" s="16"/>
      <c r="H83" s="16"/>
      <c r="I83" s="16"/>
      <c r="J83" s="16"/>
      <c r="K83" s="16"/>
      <c r="L83" s="15">
        <f>Raw_SRC_V16C_Repeats!B60</f>
        <v>8</v>
      </c>
      <c r="M83" s="15">
        <f>Raw_SRC_V16C_Repeats!C60</f>
        <v>20260427</v>
      </c>
      <c r="N83" s="15">
        <f>Raw_SRC_V16C_Repeats!D60</f>
        <v>0</v>
      </c>
      <c r="O83" s="15" t="str">
        <f>Raw_SRC_V16C_Repeats!E60</f>
        <v>random_stratified_matching_fixed_split0_class_counts</v>
      </c>
      <c r="P83" s="16">
        <f>Raw_SRC_V16C_Repeats!F60*100</f>
        <v>100</v>
      </c>
      <c r="Q83" s="16">
        <f>Raw_SRC_V16C_Repeats!G60*100</f>
        <v>85</v>
      </c>
      <c r="R83" s="16">
        <f>Raw_SRC_V16C_Repeats!H60*100</f>
        <v>82.3529411764706</v>
      </c>
      <c r="S83" s="17">
        <f>Raw_SRC_V16C_Repeats!H60</f>
        <v>0.823529411764706</v>
      </c>
      <c r="T83" s="16">
        <f>Raw_SRC_V16C_Repeats!I60*100</f>
        <v>60</v>
      </c>
      <c r="U83" s="15">
        <f>Raw_SRC_V16C_Repeats!J60</f>
        <v>4000</v>
      </c>
      <c r="V83" s="15">
        <f>Raw_SRC_V16C_Repeats!K60</f>
        <v>32</v>
      </c>
      <c r="W83" s="16">
        <f>Raw_SRC_V16C_Repeats!L60</f>
        <v>0.9</v>
      </c>
      <c r="X83" s="15" t="str">
        <f>Raw_SRC_V16C_Repeats!M60</f>
        <v>(0.01, 0.1, 1.0)</v>
      </c>
      <c r="Y83" s="16">
        <f>Raw_SRC_V16C_Repeats!N60</f>
        <v>0.2</v>
      </c>
      <c r="Z83" s="15" t="str">
        <f>Raw_SRC_V16C_Repeats!O60</f>
        <v>full</v>
      </c>
      <c r="AA83" s="15" t="str">
        <f>Raw_SRC_V16C_Repeats!P60</f>
        <v>grid_selected_by_val_only_no_test</v>
      </c>
      <c r="AB83" s="15" t="str">
        <f>Raw_SRC_V16C_Repeats!R60</f>
        <v>src_v16c_final_6datasets_repeat_rows.csv</v>
      </c>
      <c r="AC83" s="15">
        <f>Raw_SRC_V16C_Repeats!S60</f>
        <v>30</v>
      </c>
    </row>
    <row r="84" ht="22" customHeight="1" spans="1:29">
      <c r="A84" s="15" t="str">
        <f>Raw_SRC_V16C_Repeats!A61</f>
        <v>wisconsin</v>
      </c>
      <c r="B84" s="15" t="str">
        <f>"SRC-v16c repeat "&amp;Raw_SRC_V16C_Repeats!B61</f>
        <v>SRC-v16c repeat 9</v>
      </c>
      <c r="C84" s="15" t="s">
        <v>2</v>
      </c>
      <c r="D84" s="15"/>
      <c r="E84" s="16"/>
      <c r="F84" s="16"/>
      <c r="G84" s="16"/>
      <c r="H84" s="16"/>
      <c r="I84" s="16"/>
      <c r="J84" s="16"/>
      <c r="K84" s="16"/>
      <c r="L84" s="15">
        <f>Raw_SRC_V16C_Repeats!B61</f>
        <v>9</v>
      </c>
      <c r="M84" s="15">
        <f>Raw_SRC_V16C_Repeats!C61</f>
        <v>20260428</v>
      </c>
      <c r="N84" s="15">
        <f>Raw_SRC_V16C_Repeats!D61</f>
        <v>0</v>
      </c>
      <c r="O84" s="15" t="str">
        <f>Raw_SRC_V16C_Repeats!E61</f>
        <v>random_stratified_matching_fixed_split0_class_counts</v>
      </c>
      <c r="P84" s="16">
        <f>Raw_SRC_V16C_Repeats!F61*100</f>
        <v>100</v>
      </c>
      <c r="Q84" s="16">
        <f>Raw_SRC_V16C_Repeats!G61*100</f>
        <v>83.75</v>
      </c>
      <c r="R84" s="16">
        <f>Raw_SRC_V16C_Repeats!H61*100</f>
        <v>76.4705882352941</v>
      </c>
      <c r="S84" s="17">
        <f>Raw_SRC_V16C_Repeats!H61</f>
        <v>0.764705882352941</v>
      </c>
      <c r="T84" s="16">
        <f>Raw_SRC_V16C_Repeats!I61*100</f>
        <v>59.5121951219512</v>
      </c>
      <c r="U84" s="15">
        <f>Raw_SRC_V16C_Repeats!J61</f>
        <v>5000</v>
      </c>
      <c r="V84" s="15">
        <f>Raw_SRC_V16C_Repeats!K61</f>
        <v>32</v>
      </c>
      <c r="W84" s="16">
        <f>Raw_SRC_V16C_Repeats!L61</f>
        <v>0.9</v>
      </c>
      <c r="X84" s="15" t="str">
        <f>Raw_SRC_V16C_Repeats!M61</f>
        <v>(0.05, 0.5, 5.0)</v>
      </c>
      <c r="Y84" s="16">
        <f>Raw_SRC_V16C_Repeats!N61</f>
        <v>0.7</v>
      </c>
      <c r="Z84" s="15" t="str">
        <f>Raw_SRC_V16C_Repeats!O61</f>
        <v>full</v>
      </c>
      <c r="AA84" s="15" t="str">
        <f>Raw_SRC_V16C_Repeats!P61</f>
        <v>grid_selected_by_val_only_no_test</v>
      </c>
      <c r="AB84" s="15" t="str">
        <f>Raw_SRC_V16C_Repeats!R61</f>
        <v>src_v16c_final_6datasets_repeat_rows.csv</v>
      </c>
      <c r="AC84" s="15">
        <f>Raw_SRC_V16C_Repeats!S61</f>
        <v>31</v>
      </c>
    </row>
  </sheetData>
  <mergeCells count="6">
    <mergeCell ref="A2:AC2"/>
    <mergeCell ref="A16:AC16"/>
    <mergeCell ref="A30:AC30"/>
    <mergeCell ref="A44:AC44"/>
    <mergeCell ref="A58:AC58"/>
    <mergeCell ref="A72:AC7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showGridLines="0" workbookViewId="0">
      <selection activeCell="A1" sqref="A1"/>
    </sheetView>
  </sheetViews>
  <sheetFormatPr defaultColWidth="9" defaultRowHeight="14.5" outlineLevelCol="5"/>
  <cols>
    <col min="1" max="1" width="45" customWidth="1"/>
    <col min="2" max="2" width="90" customWidth="1"/>
    <col min="3" max="3" width="25" customWidth="1"/>
    <col min="4" max="4" width="20" customWidth="1"/>
    <col min="5" max="5" width="22" customWidth="1"/>
    <col min="6" max="6" width="27" customWidth="1"/>
  </cols>
  <sheetData>
    <row r="1" ht="18" customHeight="1" spans="1:6">
      <c r="A1" s="1" t="s">
        <v>135</v>
      </c>
      <c r="B1" s="1" t="s">
        <v>136</v>
      </c>
      <c r="C1" s="2"/>
      <c r="D1" s="2"/>
      <c r="E1" s="2"/>
      <c r="F1" s="2"/>
    </row>
    <row r="2" ht="18" customHeight="1" spans="1:6">
      <c r="A2" s="3" t="s">
        <v>137</v>
      </c>
      <c r="B2" s="2" t="s">
        <v>138</v>
      </c>
      <c r="C2" s="2"/>
      <c r="D2" s="2"/>
      <c r="E2" s="2"/>
      <c r="F2" s="2"/>
    </row>
    <row r="3" ht="18" customHeight="1" spans="1:6">
      <c r="A3" s="3" t="s">
        <v>139</v>
      </c>
      <c r="B3" s="2" t="s">
        <v>140</v>
      </c>
      <c r="C3" s="2"/>
      <c r="D3" s="2"/>
      <c r="E3" s="2"/>
      <c r="F3" s="2"/>
    </row>
    <row r="4" ht="18" customHeight="1" spans="1:6">
      <c r="A4" s="3" t="s">
        <v>141</v>
      </c>
      <c r="B4" s="2" t="s">
        <v>63</v>
      </c>
      <c r="C4" s="2"/>
      <c r="D4" s="2"/>
      <c r="E4" s="2"/>
      <c r="F4" s="2"/>
    </row>
    <row r="5" ht="18" customHeight="1" spans="1:6">
      <c r="A5" s="3" t="s">
        <v>142</v>
      </c>
      <c r="B5" s="2" t="s">
        <v>143</v>
      </c>
      <c r="C5" s="2"/>
      <c r="D5" s="2"/>
      <c r="E5" s="2"/>
      <c r="F5" s="2"/>
    </row>
    <row r="6" ht="18" customHeight="1" spans="1:6">
      <c r="A6" s="3" t="s">
        <v>144</v>
      </c>
      <c r="B6" s="2" t="s">
        <v>42</v>
      </c>
      <c r="C6" s="2"/>
      <c r="D6" s="2"/>
      <c r="E6" s="2"/>
      <c r="F6" s="2"/>
    </row>
    <row r="7" ht="18" customHeight="1" spans="1:6">
      <c r="A7" s="3" t="s">
        <v>145</v>
      </c>
      <c r="B7" s="2" t="s">
        <v>146</v>
      </c>
      <c r="C7" s="2"/>
      <c r="D7" s="2"/>
      <c r="E7" s="2"/>
      <c r="F7" s="2"/>
    </row>
    <row r="8" ht="18" customHeight="1" spans="1:6">
      <c r="A8" s="3" t="s">
        <v>147</v>
      </c>
      <c r="B8" s="2" t="s">
        <v>148</v>
      </c>
      <c r="C8" s="2"/>
      <c r="D8" s="2"/>
      <c r="E8" s="2"/>
      <c r="F8" s="2"/>
    </row>
    <row r="9" ht="18" customHeight="1" spans="1:6">
      <c r="A9" s="3" t="s">
        <v>149</v>
      </c>
      <c r="B9" s="2" t="s">
        <v>150</v>
      </c>
      <c r="C9" s="2"/>
      <c r="D9" s="2"/>
      <c r="E9" s="2"/>
      <c r="F9" s="2"/>
    </row>
    <row r="10" ht="18" customHeight="1" spans="1:6">
      <c r="A10" s="3" t="s">
        <v>151</v>
      </c>
      <c r="B10" s="2" t="s">
        <v>152</v>
      </c>
      <c r="C10" s="2"/>
      <c r="D10" s="2"/>
      <c r="E10" s="2"/>
      <c r="F10" s="2"/>
    </row>
    <row r="11" ht="18" customHeight="1" spans="1:6">
      <c r="A11" s="3" t="s">
        <v>153</v>
      </c>
      <c r="B11" s="2" t="s">
        <v>154</v>
      </c>
      <c r="C11" s="2"/>
      <c r="D11" s="2"/>
      <c r="E11" s="2"/>
      <c r="F11" s="2"/>
    </row>
    <row r="12" ht="18" customHeight="1" spans="1:6">
      <c r="A12" s="2"/>
      <c r="B12" s="2"/>
      <c r="C12" s="2"/>
      <c r="D12" s="2"/>
      <c r="E12" s="2"/>
      <c r="F12" s="2"/>
    </row>
    <row r="13" ht="18" customHeight="1" spans="1:6">
      <c r="A13" s="4" t="s">
        <v>0</v>
      </c>
      <c r="B13" s="4" t="s">
        <v>155</v>
      </c>
      <c r="C13" s="4" t="s">
        <v>156</v>
      </c>
      <c r="D13" s="4" t="s">
        <v>157</v>
      </c>
      <c r="E13" s="4" t="s">
        <v>158</v>
      </c>
      <c r="F13" s="4" t="s">
        <v>159</v>
      </c>
    </row>
    <row r="14" ht="18" customHeight="1" spans="1:6">
      <c r="A14" s="2" t="s">
        <v>27</v>
      </c>
      <c r="B14" s="2">
        <v>10</v>
      </c>
      <c r="C14" s="2" t="s">
        <v>75</v>
      </c>
      <c r="D14" s="2">
        <v>10</v>
      </c>
      <c r="E14" s="2" t="s">
        <v>160</v>
      </c>
      <c r="F14" s="2" t="s">
        <v>161</v>
      </c>
    </row>
    <row r="15" ht="18" customHeight="1" spans="1:6">
      <c r="A15" s="2" t="s">
        <v>36</v>
      </c>
      <c r="B15" s="2">
        <v>10</v>
      </c>
      <c r="C15" s="2" t="s">
        <v>75</v>
      </c>
      <c r="D15" s="2">
        <v>10</v>
      </c>
      <c r="E15" s="2" t="s">
        <v>162</v>
      </c>
      <c r="F15" s="2" t="s">
        <v>163</v>
      </c>
    </row>
    <row r="16" ht="18" customHeight="1" spans="1:6">
      <c r="A16" s="2" t="s">
        <v>39</v>
      </c>
      <c r="B16" s="2">
        <v>10</v>
      </c>
      <c r="C16" s="2" t="s">
        <v>82</v>
      </c>
      <c r="D16" s="2">
        <v>10</v>
      </c>
      <c r="E16" s="2" t="s">
        <v>164</v>
      </c>
      <c r="F16" s="2" t="s">
        <v>165</v>
      </c>
    </row>
    <row r="17" ht="18" customHeight="1" spans="1:6">
      <c r="A17" s="2" t="s">
        <v>53</v>
      </c>
      <c r="B17" s="2">
        <v>10</v>
      </c>
      <c r="C17" s="2" t="s">
        <v>75</v>
      </c>
      <c r="D17" s="2">
        <v>10</v>
      </c>
      <c r="E17" s="2" t="s">
        <v>166</v>
      </c>
      <c r="F17" s="2" t="s">
        <v>167</v>
      </c>
    </row>
    <row r="18" ht="18" customHeight="1" spans="1:6">
      <c r="A18" s="2" t="s">
        <v>55</v>
      </c>
      <c r="B18" s="2">
        <v>10</v>
      </c>
      <c r="C18" s="2" t="s">
        <v>75</v>
      </c>
      <c r="D18" s="2">
        <v>10</v>
      </c>
      <c r="E18" s="2" t="s">
        <v>168</v>
      </c>
      <c r="F18" s="2" t="s">
        <v>169</v>
      </c>
    </row>
    <row r="19" ht="18" customHeight="1" spans="1:6">
      <c r="A19" s="2" t="s">
        <v>56</v>
      </c>
      <c r="B19" s="2">
        <v>10</v>
      </c>
      <c r="C19" s="2" t="s">
        <v>75</v>
      </c>
      <c r="D19" s="2">
        <v>10</v>
      </c>
      <c r="E19" s="2" t="s">
        <v>170</v>
      </c>
      <c r="F19" s="2" t="s">
        <v>171</v>
      </c>
    </row>
    <row r="21" spans="1:6">
      <c r="A21" s="5" t="s">
        <v>172</v>
      </c>
      <c r="B21" s="5" t="s">
        <v>173</v>
      </c>
      <c r="C21" s="5" t="s">
        <v>174</v>
      </c>
    </row>
    <row r="22" spans="1:6">
      <c r="A22" t="s">
        <v>63</v>
      </c>
      <c r="B22">
        <v>135262</v>
      </c>
      <c r="C22" t="s">
        <v>175</v>
      </c>
    </row>
    <row r="23" spans="1:6">
      <c r="A23" t="s">
        <v>33</v>
      </c>
      <c r="B23">
        <v>24183</v>
      </c>
      <c r="C23" t="s">
        <v>176</v>
      </c>
    </row>
    <row r="24" spans="1:6">
      <c r="A24" t="s">
        <v>42</v>
      </c>
      <c r="B24">
        <v>6156</v>
      </c>
      <c r="C24" t="s">
        <v>177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Paper_Table</vt:lpstr>
      <vt:lpstr>Raw_SRC_V16C_Repeats</vt:lpstr>
      <vt:lpstr>Raw_Strongest_Baseline_Repeats</vt:lpstr>
      <vt:lpstr>Baseline_Method_Stats</vt:lpstr>
      <vt:lpstr>Compact_Summary</vt:lpstr>
      <vt:lpstr>Final_Table_Sections</vt:lpstr>
      <vt:lpstr>Self_Check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妲妲</cp:lastModifiedBy>
  <dcterms:created xsi:type="dcterms:W3CDTF">2026-04-21T05:03:37Z</dcterms:created>
  <dcterms:modified xsi:type="dcterms:W3CDTF">2026-04-21T05:09:52Z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BCF00D2181B24D57B2BBD16629EA5C92_12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